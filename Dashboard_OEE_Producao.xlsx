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Leia-me" sheetId="2" state="visible" r:id="rId4"/>
    <sheet name="Producao" sheetId="3" state="visible" r:id="rId5"/>
    <sheet name="Paradas" sheetId="4" state="visible" r:id="rId6"/>
    <sheet name="List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<sst xmlns="http://schemas.openxmlformats.org/spreadsheetml/2006/main" count="7640" uniqueCount="79">
  <si>
    <t xml:space="preserve">Dashboard OEE · 3 linhas × 3 turnos</t>
  </si>
  <si>
    <t xml:space="preserve">Base fictícia de produção, 01/07 a 28/09/2026 · escolha a linha e o mês nas células amarelas</t>
  </si>
  <si>
    <t xml:space="preserve">Linha</t>
  </si>
  <si>
    <t xml:space="preserve">Todas</t>
  </si>
  <si>
    <t xml:space="preserve">Mês</t>
  </si>
  <si>
    <t xml:space="preserve">Todos</t>
  </si>
  <si>
    <t xml:space="preserve">Meta OEE</t>
  </si>
  <si>
    <t xml:space="preserve">OEE</t>
  </si>
  <si>
    <t xml:space="preserve">Disponibilidade</t>
  </si>
  <si>
    <t xml:space="preserve">Performance</t>
  </si>
  <si>
    <t xml:space="preserve">Qualidade</t>
  </si>
  <si>
    <t xml:space="preserve">OEE por linha e turno (filtro de mês)</t>
  </si>
  <si>
    <t xml:space="preserve">Turno A</t>
  </si>
  <si>
    <t xml:space="preserve">Turno B</t>
  </si>
  <si>
    <t xml:space="preserve">Turno C</t>
  </si>
  <si>
    <t xml:space="preserve">Total</t>
  </si>
  <si>
    <t xml:space="preserve">Linha 1</t>
  </si>
  <si>
    <t xml:space="preserve">Linha 2</t>
  </si>
  <si>
    <t xml:space="preserve">Linha 3</t>
  </si>
  <si>
    <t xml:space="preserve">Pareto de paradas (filtros de linha e mês)</t>
  </si>
  <si>
    <t xml:space="preserve">Motivo</t>
  </si>
  <si>
    <t xml:space="preserve">Minutos</t>
  </si>
  <si>
    <t xml:space="preserve">%</t>
  </si>
  <si>
    <t xml:space="preserve">% acumulado</t>
  </si>
  <si>
    <t xml:space="preserve">Motivo (aux)</t>
  </si>
  <si>
    <t xml:space="preserve">Min+desempate (aux)</t>
  </si>
  <si>
    <t xml:space="preserve">Setup e troca de ferramenta</t>
  </si>
  <si>
    <t xml:space="preserve">Falta de material</t>
  </si>
  <si>
    <t xml:space="preserve">Quebra mecânica</t>
  </si>
  <si>
    <t xml:space="preserve">Ajuste de qualidade</t>
  </si>
  <si>
    <t xml:space="preserve">Falta de operador</t>
  </si>
  <si>
    <t xml:space="preserve">Manutenção preventiva</t>
  </si>
  <si>
    <t xml:space="preserve">Outros</t>
  </si>
  <si>
    <t xml:space="preserve">OEE por semana (filtro de linha)</t>
  </si>
  <si>
    <t xml:space="preserve">Semana</t>
  </si>
  <si>
    <t xml:space="preserve">Meta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</si>
  <si>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</si>
  <si>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</si>
  <si>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</si>
  <si>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</si>
  <si>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</si>
  <si>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</si>
  <si>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</si>
  <si>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</si>
  <si>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</si>
  <si>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</si>
  <si>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</si>
  <si>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</si>
  <si>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</si>
  <si>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Dashboard OEE – base fictícia de produção (portfólio)</t>
  </si>
  <si>
    <t xml:space="preserve">Empresa e dados fictícios: 3 linhas × 3 turnos × 90 dias (01/07/2026 a 28/09/2026), 810 turnos e 1972 paradas registradas.</t>
  </si>
  <si>
    <t xml:space="preserve">Abas:</t>
  </si>
  <si>
    <t xml:space="preserve">• Dashboard: escolha a linha e o mês nas células amarelas (B4 e E4). Tudo recalcula: OEE, disponibilidade, performance, qualidade, Pareto de paradas e gráficos.</t>
  </si>
  <si>
    <t xml:space="preserve">• Producao: um registro por turno. Colunas em azul são dados de entrada; colunas em preto são fórmulas.</t>
  </si>
  <si>
    <t xml:space="preserve">• Paradas: um registro por parada (data, linha, turno, motivo, minutos). É a base do Pareto e das paradas de cada turno.</t>
  </si>
  <si>
    <t xml:space="preserve">• Listas: linhas, meses e motivos usados nas validações.</t>
  </si>
  <si>
    <t xml:space="preserve">Como o OEE é calculado (agregado, sem média de médias):</t>
  </si>
  <si>
    <t xml:space="preserve">Disponibilidade = (tempo planejado − paradas) ÷ tempo planejado</t>
  </si>
  <si>
    <t xml:space="preserve">Performance = produção total ÷ (tempo operando × velocidade ideal)</t>
  </si>
  <si>
    <t xml:space="preserve">Qualidade = peças boas ÷ produção total</t>
  </si>
  <si>
    <t xml:space="preserve">OEE = Disponibilidade × Performance × Qualidade. Referência de classe mundial: 85%.</t>
  </si>
  <si>
    <t xml:space="preserve">Para usar com dados reais: apague as linhas das abas Producao e Paradas (a partir da linha 2), cole os dados no mesmo formato e copie as fórmulas das colunas pretas até o fim.</t>
  </si>
  <si>
    <t xml:space="preserve">Data</t>
  </si>
  <si>
    <t xml:space="preserve">Turno</t>
  </si>
  <si>
    <t xml:space="preserve">Tempo_planejado_min</t>
  </si>
  <si>
    <t xml:space="preserve">Velocidade_ideal_pc_min</t>
  </si>
  <si>
    <t xml:space="preserve">Producao_total</t>
  </si>
  <si>
    <t xml:space="preserve">Pecas_boas</t>
  </si>
  <si>
    <t xml:space="preserve">Paradas_min</t>
  </si>
  <si>
    <t xml:space="preserve">Tempo_operando_min</t>
  </si>
  <si>
    <t xml:space="preserve">Capacidade_teorica</t>
  </si>
  <si>
    <t xml:space="preserve">Mes</t>
  </si>
  <si>
    <t xml:space="preserve">A</t>
  </si>
  <si>
    <t xml:space="preserve">B</t>
  </si>
  <si>
    <t xml:space="preserve">C</t>
  </si>
  <si>
    <t xml:space="preserve">Nº do mês</t>
  </si>
  <si>
    <t xml:space="preserve">Julho</t>
  </si>
  <si>
    <t xml:space="preserve">Agosto</t>
  </si>
  <si>
    <t xml:space="preserve">Setembro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</si>
</sst>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%"/>
    <numFmt numFmtId="166" formatCode="General"/>
    <numFmt numFmtId="167" formatCode="0.0%"/>
    <numFmt numFmtId="168" formatCode="[&lt;=0]&quot;Acima da meta&quot;;&quot;Faltam &quot;0.0%&quot; para a meta&quot;"/>
    <numFmt numFmtId="169" formatCode="#,##0&quot; min parados&quot;"/>
    <numFmt numFmtId="170" formatCode="#,##0&quot; peças&quot;"/>
    <numFmt numFmtId="171" formatCode="#,##0&quot; refugadas&quot;"/>
    <numFmt numFmtId="172" formatCode="#,##0"/>
    <numFmt numFmtId="173" formatCode="dd/mm/yyyy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4213D"/>
      <name val="Arial"/>
      <family val="0"/>
      <charset val="1"/>
    </font>
    <font>
      <sz val="10"/>
      <color rgb="FF6B6A6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0"/>
      <color rgb="FF6B6A65"/>
      <name val="Arial"/>
      <family val="0"/>
      <charset val="1"/>
    </font>
    <font>
      <b val="true"/>
      <sz val="20"/>
      <color rgb="FF14213D"/>
      <name val="Arial"/>
      <family val="0"/>
      <charset val="1"/>
    </font>
    <font>
      <sz val="9"/>
      <color rgb="FF6B6A65"/>
      <name val="Arial"/>
      <family val="0"/>
      <charset val="1"/>
    </font>
    <font>
      <b val="true"/>
      <sz val="12"/>
      <color rgb="FF14213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8"/>
      <color rgb="FF99999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14213D"/>
      <name val="Arial"/>
      <family val="0"/>
      <charset val="1"/>
    </font>
    <font>
      <sz val="10"/>
      <color rgb="FF2C2C2A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9F9F9"/>
      </patternFill>
    </fill>
    <fill>
      <patternFill patternType="solid">
        <fgColor rgb="FF14213D"/>
        <bgColor rgb="FF2C2C2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A65"/>
      <rgbColor rgb="FF999999"/>
      <rgbColor rgb="FF14213D"/>
      <rgbColor rgb="FF1F9E8E"/>
      <rgbColor rgb="FF003300"/>
      <rgbColor rgb="FF333300"/>
      <rgbColor rgb="FFB3402B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Pareto de paradas (min)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Dashboard!B19</c:f>
              <c:strCache>
                <c:ptCount val="1"/>
                <c:pt idx="0">
                  <c:v>Minutos</c:v>
                </c:pt>
              </c:strCache>
            </c:strRef>
          </c:tx>
          <c:spPr>
            <a:solidFill>
              <a:srgbClr val="1f9e8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Dashboard!$A$20:$A$26</c:f>
              <c:strCache>
                <c:ptCount val="7"/>
                <c:pt idx="0">
                  <c:v>Setup e troca de ferramenta</c:v>
                </c:pt>
                <c:pt idx="1">
                  <c:v>Quebra mecânica</c:v>
                </c:pt>
                <c:pt idx="2">
                  <c:v>Falta de material</c:v>
                </c:pt>
                <c:pt idx="3">
                  <c:v>Manutenção preventiva</c:v>
                </c:pt>
                <c:pt idx="4">
                  <c:v>Falta de operador</c:v>
                </c:pt>
                <c:pt idx="5">
                  <c:v>Ajuste de qualidade</c:v>
                </c:pt>
                <c:pt idx="6">
                  <c:v>Outros</c:v>
                </c:pt>
              </c:strCache>
            </c:strRef>
          </c:cat>
          <c:val>
            <c:numRef>
              <c:f>Dashboard!$B$20:$B$26</c:f>
              <c:numCache>
                <c:formatCode>#,##0</c:formatCode>
                <c:ptCount val="7"/>
                <c:pt idx="0">
                  <c:v>23333</c:v>
                </c:pt>
                <c:pt idx="1">
                  <c:v>13458</c:v>
                </c:pt>
                <c:pt idx="2">
                  <c:v>10527</c:v>
                </c:pt>
                <c:pt idx="3">
                  <c:v>7322</c:v>
                </c:pt>
                <c:pt idx="4">
                  <c:v>5970</c:v>
                </c:pt>
                <c:pt idx="5">
                  <c:v>4986</c:v>
                </c:pt>
                <c:pt idx="6">
                  <c:v>1444</c:v>
                </c:pt>
              </c:numCache>
            </c:numRef>
          </c:val>
        </c:ser>
        <c:gapWidth val="150"/>
        <c:overlap val="0"/>
        <c:axId val="40984297"/>
        <c:axId val="86897633"/>
      </c:barChart>
      <c:lineChart>
        <c:grouping val="standard"/>
        <c:varyColors val="0"/>
        <c:ser>
          <c:idx val="1"/>
          <c:order val="1"/>
          <c:tx>
            <c:strRef>
              <c:f>Dashboard!D19</c:f>
              <c:strCache>
                <c:ptCount val="1"/>
                <c:pt idx="0">
                  <c:v>% acumulado</c:v>
                </c:pt>
              </c:strCache>
            </c:strRef>
          </c:tx>
          <c:spPr>
            <a:solidFill>
              <a:srgbClr val="14213d"/>
            </a:solidFill>
            <a:ln w="47520">
              <a:solidFill>
                <a:srgbClr val="14213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Dashboard!$A$20:$A$26</c:f>
              <c:strCache>
                <c:ptCount val="7"/>
                <c:pt idx="0">
                  <c:v>Setup e troca de ferramenta</c:v>
                </c:pt>
                <c:pt idx="1">
                  <c:v>Quebra mecânica</c:v>
                </c:pt>
                <c:pt idx="2">
                  <c:v>Falta de material</c:v>
                </c:pt>
                <c:pt idx="3">
                  <c:v>Manutenção preventiva</c:v>
                </c:pt>
                <c:pt idx="4">
                  <c:v>Falta de operador</c:v>
                </c:pt>
                <c:pt idx="5">
                  <c:v>Ajuste de qualidade</c:v>
                </c:pt>
                <c:pt idx="6">
                  <c:v>Outros</c:v>
                </c:pt>
              </c:strCache>
            </c:strRef>
          </c:cat>
          <c:val>
            <c:numRef>
              <c:f>Dashboard!$D$20:$D$26</c:f>
              <c:numCache>
                <c:formatCode>0.0%</c:formatCode>
                <c:ptCount val="7"/>
                <c:pt idx="0">
                  <c:v>0.348045942720764</c:v>
                </c:pt>
                <c:pt idx="1">
                  <c:v>0.548791766109785</c:v>
                </c:pt>
                <c:pt idx="2">
                  <c:v>0.705817422434368</c:v>
                </c:pt>
                <c:pt idx="3">
                  <c:v>0.815035799522673</c:v>
                </c:pt>
                <c:pt idx="4">
                  <c:v>0.904087112171838</c:v>
                </c:pt>
                <c:pt idx="5">
                  <c:v>0.97846062052506</c:v>
                </c:pt>
                <c:pt idx="6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055815"/>
        <c:axId val="29336805"/>
      </c:lineChart>
      <c:catAx>
        <c:axId val="409842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897633"/>
        <c:crosses val="autoZero"/>
        <c:auto val="1"/>
        <c:lblAlgn val="ctr"/>
        <c:lblOffset val="100"/>
        <c:noMultiLvlLbl val="0"/>
      </c:catAx>
      <c:valAx>
        <c:axId val="868976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Minutos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984297"/>
        <c:crosses val="autoZero"/>
        <c:crossBetween val="between"/>
      </c:valAx>
      <c:catAx>
        <c:axId val="45055815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336805"/>
        <c:crosses val="autoZero"/>
        <c:auto val="1"/>
        <c:lblAlgn val="ctr"/>
        <c:lblOffset val="100"/>
        <c:noMultiLvlLbl val="0"/>
      </c:catAx>
      <c:valAx>
        <c:axId val="29336805"/>
        <c:scaling>
          <c:orientation val="minMax"/>
          <c:max val="1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acumulado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055815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OEE por semana x meta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Dashboard!B30</c:f>
              <c:strCache>
                <c:ptCount val="1"/>
                <c:pt idx="0">
                  <c:v>OEE</c:v>
                </c:pt>
              </c:strCache>
            </c:strRef>
          </c:tx>
          <c:spPr>
            <a:solidFill>
              <a:srgbClr val="1f9e8e"/>
            </a:solidFill>
            <a:ln w="28440">
              <a:solidFill>
                <a:srgbClr val="1f9e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Dashboard!$A$31:$A$43</c:f>
              <c:strCache>
                <c:ptCount val="13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</c:strCache>
            </c:strRef>
          </c:cat>
          <c:val>
            <c:numRef>
              <c:f>Dashboard!$B$31:$B$43</c:f>
              <c:numCache>
                <c:formatCode>0.0%</c:formatCode>
                <c:ptCount val="13"/>
                <c:pt idx="0">
                  <c:v>0.69782603490381</c:v>
                </c:pt>
                <c:pt idx="1">
                  <c:v>0.747224996614014</c:v>
                </c:pt>
                <c:pt idx="2">
                  <c:v>0.713869889322612</c:v>
                </c:pt>
                <c:pt idx="3">
                  <c:v>0.6920368712509</c:v>
                </c:pt>
                <c:pt idx="4">
                  <c:v>0.69458529188255</c:v>
                </c:pt>
                <c:pt idx="5">
                  <c:v>0.700465745688043</c:v>
                </c:pt>
                <c:pt idx="6">
                  <c:v>0.709247250489565</c:v>
                </c:pt>
                <c:pt idx="7">
                  <c:v>0.700337585799325</c:v>
                </c:pt>
                <c:pt idx="8">
                  <c:v>0.714686957981159</c:v>
                </c:pt>
                <c:pt idx="9">
                  <c:v>0.700034003141587</c:v>
                </c:pt>
                <c:pt idx="10">
                  <c:v>0.683137015186673</c:v>
                </c:pt>
                <c:pt idx="11">
                  <c:v>0.7176127548308</c:v>
                </c:pt>
                <c:pt idx="12">
                  <c:v>0.713762868515618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Dashboard!C30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b3402b"/>
            </a:solidFill>
            <a:ln w="28440">
              <a:solidFill>
                <a:srgbClr val="b3402b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Dashboard!$A$31:$A$43</c:f>
              <c:strCache>
                <c:ptCount val="13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</c:strCache>
            </c:strRef>
          </c:cat>
          <c:val>
            <c:numRef>
              <c:f>Dashboard!$C$31:$C$43</c:f>
              <c:numCache>
                <c:formatCode>0%</c:formatCode>
                <c:ptCount val="13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8238668"/>
        <c:axId val="5834261"/>
      </c:lineChart>
      <c:catAx>
        <c:axId val="782386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34261"/>
        <c:crosses val="autoZero"/>
        <c:auto val="1"/>
        <c:lblAlgn val="ctr"/>
        <c:lblOffset val="100"/>
        <c:noMultiLvlLbl val="0"/>
      </c:catAx>
      <c:valAx>
        <c:axId val="5834261"/>
        <c:scaling>
          <c:orientation val="minMax"/>
          <c:max val="1"/>
          <c:min val="0.4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2386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OEE total por linha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4213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Dashboard!$A$13:$A$15</c:f>
              <c:strCache>
                <c:ptCount val="3"/>
                <c:pt idx="0">
                  <c:v>Linha 1</c:v>
                </c:pt>
                <c:pt idx="1">
                  <c:v>Linha 2</c:v>
                </c:pt>
                <c:pt idx="2">
                  <c:v>Linha 3</c:v>
                </c:pt>
              </c:strCache>
            </c:strRef>
          </c:cat>
          <c:val>
            <c:numRef>
              <c:f>Dashboard!$E$13:$E$15</c:f>
              <c:numCache>
                <c:formatCode>0.0%</c:formatCode>
                <c:ptCount val="3"/>
                <c:pt idx="0">
                  <c:v>0.742789994855967</c:v>
                </c:pt>
                <c:pt idx="1">
                  <c:v>0.671433641975309</c:v>
                </c:pt>
                <c:pt idx="2">
                  <c:v>0.70446662808642</c:v>
                </c:pt>
              </c:numCache>
            </c:numRef>
          </c:val>
        </c:ser>
        <c:gapWidth val="150"/>
        <c:overlap val="0"/>
        <c:axId val="36341099"/>
        <c:axId val="48795551"/>
      </c:barChart>
      <c:catAx>
        <c:axId val="363410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95551"/>
        <c:crosses val="autoZero"/>
        <c:auto val="1"/>
        <c:lblAlgn val="ctr"/>
        <c:lblOffset val="100"/>
        <c:noMultiLvlLbl val="0"/>
      </c:catAx>
      <c:valAx>
        <c:axId val="48795551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3410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0</xdr:row>
      <xdr:rowOff>190440</xdr:rowOff>
    </xdr:from>
    <xdr:to>
      <xdr:col>19</xdr:col>
      <xdr:colOff>208440</xdr:colOff>
      <xdr:row>17</xdr:row>
      <xdr:rowOff>162000</xdr:rowOff>
    </xdr:to>
    <xdr:graphicFrame>
      <xdr:nvGraphicFramePr>
        <xdr:cNvPr id="0" name="Chart 1"/>
        <xdr:cNvGraphicFramePr/>
      </xdr:nvGraphicFramePr>
      <xdr:xfrm>
        <a:off x="7753320" y="190440"/>
        <a:ext cx="68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35</xdr:row>
      <xdr:rowOff>171360</xdr:rowOff>
    </xdr:from>
    <xdr:to>
      <xdr:col>19</xdr:col>
      <xdr:colOff>208440</xdr:colOff>
      <xdr:row>51</xdr:row>
      <xdr:rowOff>2880</xdr:rowOff>
    </xdr:to>
    <xdr:graphicFrame>
      <xdr:nvGraphicFramePr>
        <xdr:cNvPr id="1" name="Chart 2"/>
        <xdr:cNvGraphicFramePr/>
      </xdr:nvGraphicFramePr>
      <xdr:xfrm>
        <a:off x="7753320" y="7048440"/>
        <a:ext cx="68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19</xdr:row>
      <xdr:rowOff>171720</xdr:rowOff>
    </xdr:from>
    <xdr:to>
      <xdr:col>19</xdr:col>
      <xdr:colOff>208440</xdr:colOff>
      <xdr:row>34</xdr:row>
      <xdr:rowOff>13680</xdr:rowOff>
    </xdr:to>
    <xdr:graphicFrame>
      <xdr:nvGraphicFramePr>
        <xdr:cNvPr id="2" name="Chart 3"/>
        <xdr:cNvGraphicFramePr/>
      </xdr:nvGraphicFramePr>
      <xdr:xfrm>
        <a:off x="7753320" y="4000680"/>
        <a:ext cx="68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9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10" min="7" style="0" width="4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3" t="s">
        <v>4</v>
      </c>
      <c r="D4" s="4" t="s">
        <v>5</v>
      </c>
      <c r="E4" s="3" t="s">
        <v>6</v>
      </c>
      <c r="F4" s="5" t="n">
        <v>0.85</v>
      </c>
      <c r="H4" s="6" t="n">
        <f aca="false">INDEX(Listas!$C$2:$C$5,MATCH(D4,Listas!$B$2:$B$5,0))</f>
        <v>0</v>
      </c>
    </row>
    <row r="6" customFormat="false" ht="15" hidden="false" customHeight="false" outlineLevel="0" collapsed="false">
      <c r="A6" s="7" t="s">
        <v>7</v>
      </c>
      <c r="B6" s="7" t="s">
        <v>8</v>
      </c>
      <c r="C6" s="7" t="s">
        <v>9</v>
      </c>
      <c r="D6" s="7" t="s">
        <v>10</v>
      </c>
    </row>
    <row r="7" customFormat="false" ht="24.45" hidden="false" customHeight="false" outlineLevel="0" collapsed="false">
      <c r="A7" s="8" t="n">
        <f aca="false">B7*C7*D7</f>
        <v>0.70644188277637</v>
      </c>
      <c r="B7" s="8" t="n">
        <f aca="false">IF(SUMPRODUCT(Producao!$D$2:$D$811*((($B$4="Todas")+(Producao!$B$2:$B$811=$B$4))&gt;0)*((($H$4=0)+(Producao!$O$2:$O$811=$H$4))&gt;0))=0,0,SUMPRODUCT(Producao!$I$2:$I$811*((($B$4="Todas")+(Producao!$B$2:$B$811=$B$4))&gt;0)*((($H$4=0)+(Producao!$O$2:$O$811=$H$4))&gt;0))/SUMPRODUCT(Producao!$D$2:$D$811*((($B$4="Todas")+(Producao!$B$2:$B$811=$B$4))&gt;0)*((($H$4=0)+(Producao!$O$2:$O$811=$H$4))&gt;0)))</f>
        <v>0.827572016460905</v>
      </c>
      <c r="C7" s="8" t="n">
        <f aca="false">IF(SUMPRODUCT(Producao!$J$2:$J$811*((($B$4="Todas")+(Producao!$B$2:$B$811=$B$4))&gt;0)*((($H$4=0)+(Producao!$O$2:$O$811=$H$4))&gt;0))=0,0,SUMPRODUCT(Producao!$F$2:$F$811*((($B$4="Todas")+(Producao!$B$2:$B$811=$B$4))&gt;0)*((($H$4=0)+(Producao!$O$2:$O$811=$H$4))&gt;0))/SUMPRODUCT(Producao!$J$2:$J$811*((($B$4="Todas")+(Producao!$B$2:$B$811=$B$4))&gt;0)*((($H$4=0)+(Producao!$O$2:$O$811=$H$4))&gt;0)))</f>
        <v>0.880743320265455</v>
      </c>
      <c r="D7" s="8" t="n">
        <f aca="false">IF(SUMPRODUCT(Producao!$F$2:$F$811*((($B$4="Todas")+(Producao!$B$2:$B$811=$B$4))&gt;0)*((($H$4=0)+(Producao!$O$2:$O$811=$H$4))&gt;0))=0,0,SUMPRODUCT(Producao!$G$2:$G$811*((($B$4="Todas")+(Producao!$B$2:$B$811=$B$4))&gt;0)*((($H$4=0)+(Producao!$O$2:$O$811=$H$4))&gt;0))/SUMPRODUCT(Producao!$F$2:$F$811*((($B$4="Todas")+(Producao!$B$2:$B$811=$B$4))&gt;0)*((($H$4=0)+(Producao!$O$2:$O$811=$H$4))&gt;0)))</f>
        <v>0.969217582938572</v>
      </c>
    </row>
    <row r="8" customFormat="false" ht="15" hidden="false" customHeight="false" outlineLevel="0" collapsed="false">
      <c r="A8" s="9" t="n">
        <f aca="false">F4-A7</f>
        <v>0.14355811722363</v>
      </c>
      <c r="B8" s="10" t="n">
        <f aca="false">SUMPRODUCT(Producao!$H$2:$H$811*((($B$4="Todas")+(Producao!$B$2:$B$811=$B$4))&gt;0)*((($H$4=0)+(Producao!$O$2:$O$811=$H$4))&gt;0))</f>
        <v>67040</v>
      </c>
      <c r="C8" s="11" t="n">
        <f aca="false">SUMPRODUCT(Producao!$F$2:$F$811*((($B$4="Todas")+(Producao!$B$2:$B$811=$B$4))&gt;0)*((($H$4=0)+(Producao!$O$2:$O$811=$H$4))&gt;0))</f>
        <v>2843279</v>
      </c>
      <c r="D8" s="12" t="n">
        <f aca="false">SUMPRODUCT(Producao!$F$2:$F$811*((($B$4="Todas")+(Producao!$B$2:$B$811=$B$4))&gt;0)*((($H$4=0)+(Producao!$O$2:$O$811=$H$4))&gt;0))-SUMPRODUCT(Producao!$G$2:$G$811*((($B$4="Todas")+(Producao!$B$2:$B$811=$B$4))&gt;0)*((($H$4=0)+(Producao!$O$2:$O$811=$H$4))&gt;0))</f>
        <v>87523</v>
      </c>
    </row>
    <row r="11" customFormat="false" ht="15" hidden="false" customHeight="false" outlineLevel="0" collapsed="false">
      <c r="A11" s="13" t="s">
        <v>11</v>
      </c>
    </row>
    <row r="12" customFormat="false" ht="15" hidden="false" customHeight="false" outlineLevel="0" collapsed="false">
      <c r="A12" s="14" t="s">
        <v>2</v>
      </c>
      <c r="B12" s="14" t="s">
        <v>12</v>
      </c>
      <c r="C12" s="14" t="s">
        <v>13</v>
      </c>
      <c r="D12" s="14" t="s">
        <v>14</v>
      </c>
      <c r="E12" s="14" t="s">
        <v>15</v>
      </c>
    </row>
    <row r="13" customFormat="false" ht="15" hidden="false" customHeight="false" outlineLevel="0" collapsed="false">
      <c r="A13" s="15" t="s">
        <v>16</v>
      </c>
      <c r="B13" s="16" t="n">
        <f aca="false">IF(SUMPRODUCT(Producao!$D$2:$D$811*(Producao!$B$2:$B$811=$A13)*(Producao!$C$2:$C$811="A")*((($H$4=0)+(Producao!$O$2:$O$811=$H$4))&gt;0))=0,0,(SUMPRODUCT(Producao!$I$2:$I$811*(Producao!$B$2:$B$811=$A13)*(Producao!$C$2:$C$811="A")*((($H$4=0)+(Producao!$O$2:$O$811=$H$4))&gt;0))/SUMPRODUCT(Producao!$D$2:$D$811*(Producao!$B$2:$B$811=$A13)*(Producao!$C$2:$C$811="A")*((($H$4=0)+(Producao!$O$2:$O$811=$H$4))&gt;0)))*(SUMPRODUCT(Producao!$F$2:$F$811*(Producao!$B$2:$B$811=$A13)*(Producao!$C$2:$C$811="A")*((($H$4=0)+(Producao!$O$2:$O$811=$H$4))&gt;0))/SUMPRODUCT(Producao!$J$2:$J$811*(Producao!$B$2:$B$811=$A13)*(Producao!$C$2:$C$811="A")*((($H$4=0)+(Producao!$O$2:$O$811=$H$4))&gt;0)))*(SUMPRODUCT(Producao!$G$2:$G$811*(Producao!$B$2:$B$811=$A13)*(Producao!$C$2:$C$811="A")*((($H$4=0)+(Producao!$O$2:$O$811=$H$4))&gt;0))/SUMPRODUCT(Producao!$F$2:$F$811*(Producao!$B$2:$B$811=$A13)*(Producao!$C$2:$C$811="A")*((($H$4=0)+(Producao!$O$2:$O$811=$H$4))&gt;0))))</f>
        <v>0.766398533950617</v>
      </c>
      <c r="C13" s="16" t="n">
        <f aca="false">IF(SUMPRODUCT(Producao!$D$2:$D$811*(Producao!$B$2:$B$811=$A13)*(Producao!$C$2:$C$811="B")*((($H$4=0)+(Producao!$O$2:$O$811=$H$4))&gt;0))=0,0,(SUMPRODUCT(Producao!$I$2:$I$811*(Producao!$B$2:$B$811=$A13)*(Producao!$C$2:$C$811="B")*((($H$4=0)+(Producao!$O$2:$O$811=$H$4))&gt;0))/SUMPRODUCT(Producao!$D$2:$D$811*(Producao!$B$2:$B$811=$A13)*(Producao!$C$2:$C$811="B")*((($H$4=0)+(Producao!$O$2:$O$811=$H$4))&gt;0)))*(SUMPRODUCT(Producao!$F$2:$F$811*(Producao!$B$2:$B$811=$A13)*(Producao!$C$2:$C$811="B")*((($H$4=0)+(Producao!$O$2:$O$811=$H$4))&gt;0))/SUMPRODUCT(Producao!$J$2:$J$811*(Producao!$B$2:$B$811=$A13)*(Producao!$C$2:$C$811="B")*((($H$4=0)+(Producao!$O$2:$O$811=$H$4))&gt;0)))*(SUMPRODUCT(Producao!$G$2:$G$811*(Producao!$B$2:$B$811=$A13)*(Producao!$C$2:$C$811="B")*((($H$4=0)+(Producao!$O$2:$O$811=$H$4))&gt;0))/SUMPRODUCT(Producao!$F$2:$F$811*(Producao!$B$2:$B$811=$A13)*(Producao!$C$2:$C$811="B")*((($H$4=0)+(Producao!$O$2:$O$811=$H$4))&gt;0))))</f>
        <v>0.745167824074074</v>
      </c>
      <c r="D13" s="16" t="n">
        <f aca="false">IF(SUMPRODUCT(Producao!$D$2:$D$811*(Producao!$B$2:$B$811=$A13)*(Producao!$C$2:$C$811="C")*((($H$4=0)+(Producao!$O$2:$O$811=$H$4))&gt;0))=0,0,(SUMPRODUCT(Producao!$I$2:$I$811*(Producao!$B$2:$B$811=$A13)*(Producao!$C$2:$C$811="C")*((($H$4=0)+(Producao!$O$2:$O$811=$H$4))&gt;0))/SUMPRODUCT(Producao!$D$2:$D$811*(Producao!$B$2:$B$811=$A13)*(Producao!$C$2:$C$811="C")*((($H$4=0)+(Producao!$O$2:$O$811=$H$4))&gt;0)))*(SUMPRODUCT(Producao!$F$2:$F$811*(Producao!$B$2:$B$811=$A13)*(Producao!$C$2:$C$811="C")*((($H$4=0)+(Producao!$O$2:$O$811=$H$4))&gt;0))/SUMPRODUCT(Producao!$J$2:$J$811*(Producao!$B$2:$B$811=$A13)*(Producao!$C$2:$C$811="C")*((($H$4=0)+(Producao!$O$2:$O$811=$H$4))&gt;0)))*(SUMPRODUCT(Producao!$G$2:$G$811*(Producao!$B$2:$B$811=$A13)*(Producao!$C$2:$C$811="C")*((($H$4=0)+(Producao!$O$2:$O$811=$H$4))&gt;0))/SUMPRODUCT(Producao!$F$2:$F$811*(Producao!$B$2:$B$811=$A13)*(Producao!$C$2:$C$811="C")*((($H$4=0)+(Producao!$O$2:$O$811=$H$4))&gt;0))))</f>
        <v>0.71680362654321</v>
      </c>
      <c r="E13" s="17" t="n">
        <f aca="false">IF(SUMPRODUCT(Producao!$D$2:$D$811*(Producao!$B$2:$B$811=$A13)*((($H$4=0)+(Producao!$O$2:$O$811=$H$4))&gt;0))=0,0,(SUMPRODUCT(Producao!$I$2:$I$811*(Producao!$B$2:$B$811=$A13)*((($H$4=0)+(Producao!$O$2:$O$811=$H$4))&gt;0))/SUMPRODUCT(Producao!$D$2:$D$811*(Producao!$B$2:$B$811=$A13)*((($H$4=0)+(Producao!$O$2:$O$811=$H$4))&gt;0)))*(SUMPRODUCT(Producao!$F$2:$F$811*(Producao!$B$2:$B$811=$A13)*((($H$4=0)+(Producao!$O$2:$O$811=$H$4))&gt;0))/SUMPRODUCT(Producao!$J$2:$J$811*(Producao!$B$2:$B$811=$A13)*((($H$4=0)+(Producao!$O$2:$O$811=$H$4))&gt;0)))*(SUMPRODUCT(Producao!$G$2:$G$811*(Producao!$B$2:$B$811=$A13)*((($H$4=0)+(Producao!$O$2:$O$811=$H$4))&gt;0))/SUMPRODUCT(Producao!$F$2:$F$811*(Producao!$B$2:$B$811=$A13)*((($H$4=0)+(Producao!$O$2:$O$811=$H$4))&gt;0))))</f>
        <v>0.742789994855967</v>
      </c>
    </row>
    <row r="14" customFormat="false" ht="15" hidden="false" customHeight="false" outlineLevel="0" collapsed="false">
      <c r="A14" s="15" t="s">
        <v>17</v>
      </c>
      <c r="B14" s="16" t="n">
        <f aca="false">IF(SUMPRODUCT(Producao!$D$2:$D$811*(Producao!$B$2:$B$811=$A14)*(Producao!$C$2:$C$811="A")*((($H$4=0)+(Producao!$O$2:$O$811=$H$4))&gt;0))=0,0,(SUMPRODUCT(Producao!$I$2:$I$811*(Producao!$B$2:$B$811=$A14)*(Producao!$C$2:$C$811="A")*((($H$4=0)+(Producao!$O$2:$O$811=$H$4))&gt;0))/SUMPRODUCT(Producao!$D$2:$D$811*(Producao!$B$2:$B$811=$A14)*(Producao!$C$2:$C$811="A")*((($H$4=0)+(Producao!$O$2:$O$811=$H$4))&gt;0)))*(SUMPRODUCT(Producao!$F$2:$F$811*(Producao!$B$2:$B$811=$A14)*(Producao!$C$2:$C$811="A")*((($H$4=0)+(Producao!$O$2:$O$811=$H$4))&gt;0))/SUMPRODUCT(Producao!$J$2:$J$811*(Producao!$B$2:$B$811=$A14)*(Producao!$C$2:$C$811="A")*((($H$4=0)+(Producao!$O$2:$O$811=$H$4))&gt;0)))*(SUMPRODUCT(Producao!$G$2:$G$811*(Producao!$B$2:$B$811=$A14)*(Producao!$C$2:$C$811="A")*((($H$4=0)+(Producao!$O$2:$O$811=$H$4))&gt;0))/SUMPRODUCT(Producao!$F$2:$F$811*(Producao!$B$2:$B$811=$A14)*(Producao!$C$2:$C$811="A")*((($H$4=0)+(Producao!$O$2:$O$811=$H$4))&gt;0))))</f>
        <v>0.692835648148148</v>
      </c>
      <c r="C14" s="16" t="n">
        <f aca="false">IF(SUMPRODUCT(Producao!$D$2:$D$811*(Producao!$B$2:$B$811=$A14)*(Producao!$C$2:$C$811="B")*((($H$4=0)+(Producao!$O$2:$O$811=$H$4))&gt;0))=0,0,(SUMPRODUCT(Producao!$I$2:$I$811*(Producao!$B$2:$B$811=$A14)*(Producao!$C$2:$C$811="B")*((($H$4=0)+(Producao!$O$2:$O$811=$H$4))&gt;0))/SUMPRODUCT(Producao!$D$2:$D$811*(Producao!$B$2:$B$811=$A14)*(Producao!$C$2:$C$811="B")*((($H$4=0)+(Producao!$O$2:$O$811=$H$4))&gt;0)))*(SUMPRODUCT(Producao!$F$2:$F$811*(Producao!$B$2:$B$811=$A14)*(Producao!$C$2:$C$811="B")*((($H$4=0)+(Producao!$O$2:$O$811=$H$4))&gt;0))/SUMPRODUCT(Producao!$J$2:$J$811*(Producao!$B$2:$B$811=$A14)*(Producao!$C$2:$C$811="B")*((($H$4=0)+(Producao!$O$2:$O$811=$H$4))&gt;0)))*(SUMPRODUCT(Producao!$G$2:$G$811*(Producao!$B$2:$B$811=$A14)*(Producao!$C$2:$C$811="B")*((($H$4=0)+(Producao!$O$2:$O$811=$H$4))&gt;0))/SUMPRODUCT(Producao!$F$2:$F$811*(Producao!$B$2:$B$811=$A14)*(Producao!$C$2:$C$811="B")*((($H$4=0)+(Producao!$O$2:$O$811=$H$4))&gt;0))))</f>
        <v>0.68375</v>
      </c>
      <c r="D14" s="16" t="n">
        <f aca="false">IF(SUMPRODUCT(Producao!$D$2:$D$811*(Producao!$B$2:$B$811=$A14)*(Producao!$C$2:$C$811="C")*((($H$4=0)+(Producao!$O$2:$O$811=$H$4))&gt;0))=0,0,(SUMPRODUCT(Producao!$I$2:$I$811*(Producao!$B$2:$B$811=$A14)*(Producao!$C$2:$C$811="C")*((($H$4=0)+(Producao!$O$2:$O$811=$H$4))&gt;0))/SUMPRODUCT(Producao!$D$2:$D$811*(Producao!$B$2:$B$811=$A14)*(Producao!$C$2:$C$811="C")*((($H$4=0)+(Producao!$O$2:$O$811=$H$4))&gt;0)))*(SUMPRODUCT(Producao!$F$2:$F$811*(Producao!$B$2:$B$811=$A14)*(Producao!$C$2:$C$811="C")*((($H$4=0)+(Producao!$O$2:$O$811=$H$4))&gt;0))/SUMPRODUCT(Producao!$J$2:$J$811*(Producao!$B$2:$B$811=$A14)*(Producao!$C$2:$C$811="C")*((($H$4=0)+(Producao!$O$2:$O$811=$H$4))&gt;0)))*(SUMPRODUCT(Producao!$G$2:$G$811*(Producao!$B$2:$B$811=$A14)*(Producao!$C$2:$C$811="C")*((($H$4=0)+(Producao!$O$2:$O$811=$H$4))&gt;0))/SUMPRODUCT(Producao!$F$2:$F$811*(Producao!$B$2:$B$811=$A14)*(Producao!$C$2:$C$811="C")*((($H$4=0)+(Producao!$O$2:$O$811=$H$4))&gt;0))))</f>
        <v>0.637715277777778</v>
      </c>
      <c r="E14" s="17" t="n">
        <f aca="false">IF(SUMPRODUCT(Producao!$D$2:$D$811*(Producao!$B$2:$B$811=$A14)*((($H$4=0)+(Producao!$O$2:$O$811=$H$4))&gt;0))=0,0,(SUMPRODUCT(Producao!$I$2:$I$811*(Producao!$B$2:$B$811=$A14)*((($H$4=0)+(Producao!$O$2:$O$811=$H$4))&gt;0))/SUMPRODUCT(Producao!$D$2:$D$811*(Producao!$B$2:$B$811=$A14)*((($H$4=0)+(Producao!$O$2:$O$811=$H$4))&gt;0)))*(SUMPRODUCT(Producao!$F$2:$F$811*(Producao!$B$2:$B$811=$A14)*((($H$4=0)+(Producao!$O$2:$O$811=$H$4))&gt;0))/SUMPRODUCT(Producao!$J$2:$J$811*(Producao!$B$2:$B$811=$A14)*((($H$4=0)+(Producao!$O$2:$O$811=$H$4))&gt;0)))*(SUMPRODUCT(Producao!$G$2:$G$811*(Producao!$B$2:$B$811=$A14)*((($H$4=0)+(Producao!$O$2:$O$811=$H$4))&gt;0))/SUMPRODUCT(Producao!$F$2:$F$811*(Producao!$B$2:$B$811=$A14)*((($H$4=0)+(Producao!$O$2:$O$811=$H$4))&gt;0))))</f>
        <v>0.671433641975309</v>
      </c>
    </row>
    <row r="15" customFormat="false" ht="15" hidden="false" customHeight="false" outlineLevel="0" collapsed="false">
      <c r="A15" s="15" t="s">
        <v>18</v>
      </c>
      <c r="B15" s="16" t="n">
        <f aca="false">IF(SUMPRODUCT(Producao!$D$2:$D$811*(Producao!$B$2:$B$811=$A15)*(Producao!$C$2:$C$811="A")*((($H$4=0)+(Producao!$O$2:$O$811=$H$4))&gt;0))=0,0,(SUMPRODUCT(Producao!$I$2:$I$811*(Producao!$B$2:$B$811=$A15)*(Producao!$C$2:$C$811="A")*((($H$4=0)+(Producao!$O$2:$O$811=$H$4))&gt;0))/SUMPRODUCT(Producao!$D$2:$D$811*(Producao!$B$2:$B$811=$A15)*(Producao!$C$2:$C$811="A")*((($H$4=0)+(Producao!$O$2:$O$811=$H$4))&gt;0)))*(SUMPRODUCT(Producao!$F$2:$F$811*(Producao!$B$2:$B$811=$A15)*(Producao!$C$2:$C$811="A")*((($H$4=0)+(Producao!$O$2:$O$811=$H$4))&gt;0))/SUMPRODUCT(Producao!$J$2:$J$811*(Producao!$B$2:$B$811=$A15)*(Producao!$C$2:$C$811="A")*((($H$4=0)+(Producao!$O$2:$O$811=$H$4))&gt;0)))*(SUMPRODUCT(Producao!$G$2:$G$811*(Producao!$B$2:$B$811=$A15)*(Producao!$C$2:$C$811="A")*((($H$4=0)+(Producao!$O$2:$O$811=$H$4))&gt;0))/SUMPRODUCT(Producao!$F$2:$F$811*(Producao!$B$2:$B$811=$A15)*(Producao!$C$2:$C$811="A")*((($H$4=0)+(Producao!$O$2:$O$811=$H$4))&gt;0))))</f>
        <v>0.717016782407407</v>
      </c>
      <c r="C15" s="16" t="n">
        <f aca="false">IF(SUMPRODUCT(Producao!$D$2:$D$811*(Producao!$B$2:$B$811=$A15)*(Producao!$C$2:$C$811="B")*((($H$4=0)+(Producao!$O$2:$O$811=$H$4))&gt;0))=0,0,(SUMPRODUCT(Producao!$I$2:$I$811*(Producao!$B$2:$B$811=$A15)*(Producao!$C$2:$C$811="B")*((($H$4=0)+(Producao!$O$2:$O$811=$H$4))&gt;0))/SUMPRODUCT(Producao!$D$2:$D$811*(Producao!$B$2:$B$811=$A15)*(Producao!$C$2:$C$811="B")*((($H$4=0)+(Producao!$O$2:$O$811=$H$4))&gt;0)))*(SUMPRODUCT(Producao!$F$2:$F$811*(Producao!$B$2:$B$811=$A15)*(Producao!$C$2:$C$811="B")*((($H$4=0)+(Producao!$O$2:$O$811=$H$4))&gt;0))/SUMPRODUCT(Producao!$J$2:$J$811*(Producao!$B$2:$B$811=$A15)*(Producao!$C$2:$C$811="B")*((($H$4=0)+(Producao!$O$2:$O$811=$H$4))&gt;0)))*(SUMPRODUCT(Producao!$G$2:$G$811*(Producao!$B$2:$B$811=$A15)*(Producao!$C$2:$C$811="B")*((($H$4=0)+(Producao!$O$2:$O$811=$H$4))&gt;0))/SUMPRODUCT(Producao!$F$2:$F$811*(Producao!$B$2:$B$811=$A15)*(Producao!$C$2:$C$811="B")*((($H$4=0)+(Producao!$O$2:$O$811=$H$4))&gt;0))))</f>
        <v>0.700306712962963</v>
      </c>
      <c r="D15" s="16" t="n">
        <f aca="false">IF(SUMPRODUCT(Producao!$D$2:$D$811*(Producao!$B$2:$B$811=$A15)*(Producao!$C$2:$C$811="C")*((($H$4=0)+(Producao!$O$2:$O$811=$H$4))&gt;0))=0,0,(SUMPRODUCT(Producao!$I$2:$I$811*(Producao!$B$2:$B$811=$A15)*(Producao!$C$2:$C$811="C")*((($H$4=0)+(Producao!$O$2:$O$811=$H$4))&gt;0))/SUMPRODUCT(Producao!$D$2:$D$811*(Producao!$B$2:$B$811=$A15)*(Producao!$C$2:$C$811="C")*((($H$4=0)+(Producao!$O$2:$O$811=$H$4))&gt;0)))*(SUMPRODUCT(Producao!$F$2:$F$811*(Producao!$B$2:$B$811=$A15)*(Producao!$C$2:$C$811="C")*((($H$4=0)+(Producao!$O$2:$O$811=$H$4))&gt;0))/SUMPRODUCT(Producao!$J$2:$J$811*(Producao!$B$2:$B$811=$A15)*(Producao!$C$2:$C$811="C")*((($H$4=0)+(Producao!$O$2:$O$811=$H$4))&gt;0)))*(SUMPRODUCT(Producao!$G$2:$G$811*(Producao!$B$2:$B$811=$A15)*(Producao!$C$2:$C$811="C")*((($H$4=0)+(Producao!$O$2:$O$811=$H$4))&gt;0))/SUMPRODUCT(Producao!$F$2:$F$811*(Producao!$B$2:$B$811=$A15)*(Producao!$C$2:$C$811="C")*((($H$4=0)+(Producao!$O$2:$O$811=$H$4))&gt;0))))</f>
        <v>0.696076388888889</v>
      </c>
      <c r="E15" s="17" t="n">
        <f aca="false">IF(SUMPRODUCT(Producao!$D$2:$D$811*(Producao!$B$2:$B$811=$A15)*((($H$4=0)+(Producao!$O$2:$O$811=$H$4))&gt;0))=0,0,(SUMPRODUCT(Producao!$I$2:$I$811*(Producao!$B$2:$B$811=$A15)*((($H$4=0)+(Producao!$O$2:$O$811=$H$4))&gt;0))/SUMPRODUCT(Producao!$D$2:$D$811*(Producao!$B$2:$B$811=$A15)*((($H$4=0)+(Producao!$O$2:$O$811=$H$4))&gt;0)))*(SUMPRODUCT(Producao!$F$2:$F$811*(Producao!$B$2:$B$811=$A15)*((($H$4=0)+(Producao!$O$2:$O$811=$H$4))&gt;0))/SUMPRODUCT(Producao!$J$2:$J$811*(Producao!$B$2:$B$811=$A15)*((($H$4=0)+(Producao!$O$2:$O$811=$H$4))&gt;0)))*(SUMPRODUCT(Producao!$G$2:$G$811*(Producao!$B$2:$B$811=$A15)*((($H$4=0)+(Producao!$O$2:$O$811=$H$4))&gt;0))/SUMPRODUCT(Producao!$F$2:$F$811*(Producao!$B$2:$B$811=$A15)*((($H$4=0)+(Producao!$O$2:$O$811=$H$4))&gt;0))))</f>
        <v>0.70446662808642</v>
      </c>
    </row>
    <row r="18" customFormat="false" ht="15" hidden="false" customHeight="false" outlineLevel="0" collapsed="false">
      <c r="A18" s="13" t="s">
        <v>19</v>
      </c>
    </row>
    <row r="19" customFormat="false" ht="15" hidden="false" customHeight="false" outlineLevel="0" collapsed="false">
      <c r="A19" s="14" t="s">
        <v>20</v>
      </c>
      <c r="B19" s="14" t="s">
        <v>21</v>
      </c>
      <c r="C19" s="14" t="s">
        <v>22</v>
      </c>
      <c r="D19" s="14" t="s">
        <v>23</v>
      </c>
      <c r="T19" s="18" t="s">
        <v>24</v>
      </c>
      <c r="U19" s="18" t="s">
        <v>25</v>
      </c>
    </row>
    <row r="20" customFormat="false" ht="15" hidden="false" customHeight="false" outlineLevel="0" collapsed="false">
      <c r="A20" s="19" t="str">
        <f aca="false">INDEX($T$20:$T$26,MATCH(LARGE($U$20:$U$26,1),$U$20:$U$26,0))</f>
        <v>Setup e troca de ferramenta</v>
      </c>
      <c r="B20" s="20" t="n">
        <f aca="false">ROUND(LARGE($U$20:$U$26,1),0)</f>
        <v>23333</v>
      </c>
      <c r="C20" s="16" t="n">
        <f aca="false">IF(SUM($B$20:$B$26)=0,0,B20/SUM($B$20:$B$26))</f>
        <v>0.348045942720764</v>
      </c>
      <c r="D20" s="16" t="n">
        <f aca="false">IF(SUM($B$20:$B$26)=0,0,SUM($B$20:B20)/SUM($B$20:$B$26))</f>
        <v>0.348045942720764</v>
      </c>
      <c r="T20" s="18" t="s">
        <v>26</v>
      </c>
      <c r="U20" s="18" t="n">
        <f aca="false">SUMPRODUCT((Paradas!$D$2:$D$1973=T20)*Paradas!$E$2:$E$1973*((($B$4="Todas")+(Paradas!$B$2:$B$1973=$B$4))&gt;0)*((($H$4=0)+(MONTH(Paradas!$A$2:$A$1973)=$H$4))&gt;0))+ROW()/1000000</f>
        <v>23333.00002</v>
      </c>
    </row>
    <row r="21" customFormat="false" ht="15" hidden="false" customHeight="false" outlineLevel="0" collapsed="false">
      <c r="A21" s="19" t="str">
        <f aca="false">INDEX($T$20:$T$26,MATCH(LARGE($U$20:$U$26,2),$U$20:$U$26,0))</f>
        <v>Quebra mecânica</v>
      </c>
      <c r="B21" s="20" t="n">
        <f aca="false">ROUND(LARGE($U$20:$U$26,2),0)</f>
        <v>13458</v>
      </c>
      <c r="C21" s="16" t="n">
        <f aca="false">IF(SUM($B$20:$B$26)=0,0,B21/SUM($B$20:$B$26))</f>
        <v>0.200745823389021</v>
      </c>
      <c r="D21" s="16" t="n">
        <f aca="false">IF(SUM($B$20:$B$26)=0,0,SUM($B$20:B21)/SUM($B$20:$B$26))</f>
        <v>0.548791766109785</v>
      </c>
      <c r="T21" s="18" t="s">
        <v>27</v>
      </c>
      <c r="U21" s="18" t="n">
        <f aca="false">SUMPRODUCT((Paradas!$D$2:$D$1973=T21)*Paradas!$E$2:$E$1973*((($B$4="Todas")+(Paradas!$B$2:$B$1973=$B$4))&gt;0)*((($H$4=0)+(MONTH(Paradas!$A$2:$A$1973)=$H$4))&gt;0))+ROW()/1000000</f>
        <v>10527.000021</v>
      </c>
    </row>
    <row r="22" customFormat="false" ht="15" hidden="false" customHeight="false" outlineLevel="0" collapsed="false">
      <c r="A22" s="19" t="str">
        <f aca="false">INDEX($T$20:$T$26,MATCH(LARGE($U$20:$U$26,3),$U$20:$U$26,0))</f>
        <v>Falta de material</v>
      </c>
      <c r="B22" s="20" t="n">
        <f aca="false">ROUND(LARGE($U$20:$U$26,3),0)</f>
        <v>10527</v>
      </c>
      <c r="C22" s="16" t="n">
        <f aca="false">IF(SUM($B$20:$B$26)=0,0,B22/SUM($B$20:$B$26))</f>
        <v>0.157025656324582</v>
      </c>
      <c r="D22" s="16" t="n">
        <f aca="false">IF(SUM($B$20:$B$26)=0,0,SUM($B$20:B22)/SUM($B$20:$B$26))</f>
        <v>0.705817422434368</v>
      </c>
      <c r="T22" s="18" t="s">
        <v>28</v>
      </c>
      <c r="U22" s="18" t="n">
        <f aca="false">SUMPRODUCT((Paradas!$D$2:$D$1973=T22)*Paradas!$E$2:$E$1973*((($B$4="Todas")+(Paradas!$B$2:$B$1973=$B$4))&gt;0)*((($H$4=0)+(MONTH(Paradas!$A$2:$A$1973)=$H$4))&gt;0))+ROW()/1000000</f>
        <v>13458.000022</v>
      </c>
    </row>
    <row r="23" customFormat="false" ht="15" hidden="false" customHeight="false" outlineLevel="0" collapsed="false">
      <c r="A23" s="19" t="str">
        <f aca="false">INDEX($T$20:$T$26,MATCH(LARGE($U$20:$U$26,4),$U$20:$U$26,0))</f>
        <v>Manutenção preventiva</v>
      </c>
      <c r="B23" s="20" t="n">
        <f aca="false">ROUND(LARGE($U$20:$U$26,4),0)</f>
        <v>7322</v>
      </c>
      <c r="C23" s="16" t="n">
        <f aca="false">IF(SUM($B$20:$B$26)=0,0,B23/SUM($B$20:$B$26))</f>
        <v>0.109218377088306</v>
      </c>
      <c r="D23" s="16" t="n">
        <f aca="false">IF(SUM($B$20:$B$26)=0,0,SUM($B$20:B23)/SUM($B$20:$B$26))</f>
        <v>0.815035799522673</v>
      </c>
      <c r="T23" s="18" t="s">
        <v>29</v>
      </c>
      <c r="U23" s="18" t="n">
        <f aca="false">SUMPRODUCT((Paradas!$D$2:$D$1973=T23)*Paradas!$E$2:$E$1973*((($B$4="Todas")+(Paradas!$B$2:$B$1973=$B$4))&gt;0)*((($H$4=0)+(MONTH(Paradas!$A$2:$A$1973)=$H$4))&gt;0))+ROW()/1000000</f>
        <v>4986.000023</v>
      </c>
    </row>
    <row r="24" customFormat="false" ht="15" hidden="false" customHeight="false" outlineLevel="0" collapsed="false">
      <c r="A24" s="19" t="str">
        <f aca="false">INDEX($T$20:$T$26,MATCH(LARGE($U$20:$U$26,5),$U$20:$U$26,0))</f>
        <v>Falta de operador</v>
      </c>
      <c r="B24" s="20" t="n">
        <f aca="false">ROUND(LARGE($U$20:$U$26,5),0)</f>
        <v>5970</v>
      </c>
      <c r="C24" s="16" t="n">
        <f aca="false">IF(SUM($B$20:$B$26)=0,0,B24/SUM($B$20:$B$26))</f>
        <v>0.0890513126491647</v>
      </c>
      <c r="D24" s="16" t="n">
        <f aca="false">IF(SUM($B$20:$B$26)=0,0,SUM($B$20:B24)/SUM($B$20:$B$26))</f>
        <v>0.904087112171838</v>
      </c>
      <c r="T24" s="18" t="s">
        <v>30</v>
      </c>
      <c r="U24" s="18" t="n">
        <f aca="false">SUMPRODUCT((Paradas!$D$2:$D$1973=T24)*Paradas!$E$2:$E$1973*((($B$4="Todas")+(Paradas!$B$2:$B$1973=$B$4))&gt;0)*((($H$4=0)+(MONTH(Paradas!$A$2:$A$1973)=$H$4))&gt;0))+ROW()/1000000</f>
        <v>5970.000024</v>
      </c>
    </row>
    <row r="25" customFormat="false" ht="15" hidden="false" customHeight="false" outlineLevel="0" collapsed="false">
      <c r="A25" s="19" t="str">
        <f aca="false">INDEX($T$20:$T$26,MATCH(LARGE($U$20:$U$26,6),$U$20:$U$26,0))</f>
        <v>Ajuste de qualidade</v>
      </c>
      <c r="B25" s="20" t="n">
        <f aca="false">ROUND(LARGE($U$20:$U$26,6),0)</f>
        <v>4986</v>
      </c>
      <c r="C25" s="16" t="n">
        <f aca="false">IF(SUM($B$20:$B$26)=0,0,B25/SUM($B$20:$B$26))</f>
        <v>0.074373508353222</v>
      </c>
      <c r="D25" s="16" t="n">
        <f aca="false">IF(SUM($B$20:$B$26)=0,0,SUM($B$20:B25)/SUM($B$20:$B$26))</f>
        <v>0.97846062052506</v>
      </c>
      <c r="T25" s="18" t="s">
        <v>31</v>
      </c>
      <c r="U25" s="18" t="n">
        <f aca="false">SUMPRODUCT((Paradas!$D$2:$D$1973=T25)*Paradas!$E$2:$E$1973*((($B$4="Todas")+(Paradas!$B$2:$B$1973=$B$4))&gt;0)*((($H$4=0)+(MONTH(Paradas!$A$2:$A$1973)=$H$4))&gt;0))+ROW()/1000000</f>
        <v>7322.000025</v>
      </c>
    </row>
    <row r="26" customFormat="false" ht="15" hidden="false" customHeight="false" outlineLevel="0" collapsed="false">
      <c r="A26" s="19" t="str">
        <f aca="false">INDEX($T$20:$T$26,MATCH(LARGE($U$20:$U$26,7),$U$20:$U$26,0))</f>
        <v>Outros</v>
      </c>
      <c r="B26" s="20" t="n">
        <f aca="false">ROUND(LARGE($U$20:$U$26,7),0)</f>
        <v>1444</v>
      </c>
      <c r="C26" s="16" t="n">
        <f aca="false">IF(SUM($B$20:$B$26)=0,0,B26/SUM($B$20:$B$26))</f>
        <v>0.0215393794749403</v>
      </c>
      <c r="D26" s="16" t="n">
        <f aca="false">IF(SUM($B$20:$B$26)=0,0,SUM($B$20:B26)/SUM($B$20:$B$26))</f>
        <v>1</v>
      </c>
      <c r="T26" s="18" t="s">
        <v>32</v>
      </c>
      <c r="U26" s="18" t="n">
        <f aca="false">SUMPRODUCT((Paradas!$D$2:$D$1973=T26)*Paradas!$E$2:$E$1973*((($B$4="Todas")+(Paradas!$B$2:$B$1973=$B$4))&gt;0)*((($H$4=0)+(MONTH(Paradas!$A$2:$A$1973)=$H$4))&gt;0))+ROW()/1000000</f>
        <v>1444.000026</v>
      </c>
    </row>
    <row r="29" customFormat="false" ht="15" hidden="false" customHeight="false" outlineLevel="0" collapsed="false">
      <c r="A29" s="13" t="s">
        <v>33</v>
      </c>
    </row>
    <row r="30" customFormat="false" ht="15" hidden="false" customHeight="false" outlineLevel="0" collapsed="false">
      <c r="A30" s="14" t="s">
        <v>34</v>
      </c>
      <c r="B30" s="14" t="s">
        <v>7</v>
      </c>
      <c r="C30" s="14" t="s">
        <v>35</v>
      </c>
    </row>
    <row r="31" customFormat="false" ht="15" hidden="false" customHeight="false" outlineLevel="0" collapsed="false">
      <c r="A31" s="19" t="s">
        <v>36</v>
      </c>
      <c r="B31" s="16" t="n">
        <f aca="false">IF(SUMPRODUCT(Producao!$D$2:$D$811*(Producao!$P$2:$P$811=1)*((($B$4="Todas")+(Producao!$B$2:$B$811=$B$4))&gt;0))=0,0,(SUMPRODUCT(Producao!$I$2:$I$811*(Producao!$P$2:$P$811=1)*((($B$4="Todas")+(Producao!$B$2:$B$811=$B$4))&gt;0))/SUMPRODUCT(Producao!$D$2:$D$811*(Producao!$P$2:$P$811=1)*((($B$4="Todas")+(Producao!$B$2:$B$811=$B$4))&gt;0)))*(SUMPRODUCT(Producao!$F$2:$F$811*(Producao!$P$2:$P$811=1)*((($B$4="Todas")+(Producao!$B$2:$B$811=$B$4))&gt;0))/SUMPRODUCT(Producao!$J$2:$J$811*(Producao!$P$2:$P$811=1)*((($B$4="Todas")+(Producao!$B$2:$B$811=$B$4))&gt;0)))*(SUMPRODUCT(Producao!$G$2:$G$811*(Producao!$P$2:$P$811=1)*((($B$4="Todas")+(Producao!$B$2:$B$811=$B$4))&gt;0))/SUMPRODUCT(Producao!$F$2:$F$811*(Producao!$P$2:$P$811=1)*((($B$4="Todas")+(Producao!$B$2:$B$811=$B$4))&gt;0))))</f>
        <v>0.69782603490381</v>
      </c>
      <c r="C31" s="21" t="n">
        <f aca="false">$F$4</f>
        <v>0.85</v>
      </c>
    </row>
    <row r="32" customFormat="false" ht="15" hidden="false" customHeight="false" outlineLevel="0" collapsed="false">
      <c r="A32" s="19" t="s">
        <v>37</v>
      </c>
      <c r="B32" s="16" t="n">
        <f aca="false">IF(SUMPRODUCT(Producao!$D$2:$D$811*(Producao!$P$2:$P$811=2)*((($B$4="Todas")+(Producao!$B$2:$B$811=$B$4))&gt;0))=0,0,(SUMPRODUCT(Producao!$I$2:$I$811*(Producao!$P$2:$P$811=2)*((($B$4="Todas")+(Producao!$B$2:$B$811=$B$4))&gt;0))/SUMPRODUCT(Producao!$D$2:$D$811*(Producao!$P$2:$P$811=2)*((($B$4="Todas")+(Producao!$B$2:$B$811=$B$4))&gt;0)))*(SUMPRODUCT(Producao!$F$2:$F$811*(Producao!$P$2:$P$811=2)*((($B$4="Todas")+(Producao!$B$2:$B$811=$B$4))&gt;0))/SUMPRODUCT(Producao!$J$2:$J$811*(Producao!$P$2:$P$811=2)*((($B$4="Todas")+(Producao!$B$2:$B$811=$B$4))&gt;0)))*(SUMPRODUCT(Producao!$G$2:$G$811*(Producao!$P$2:$P$811=2)*((($B$4="Todas")+(Producao!$B$2:$B$811=$B$4))&gt;0))/SUMPRODUCT(Producao!$F$2:$F$811*(Producao!$P$2:$P$811=2)*((($B$4="Todas")+(Producao!$B$2:$B$811=$B$4))&gt;0))))</f>
        <v>0.747224996614014</v>
      </c>
      <c r="C32" s="21" t="n">
        <f aca="false">$F$4</f>
        <v>0.85</v>
      </c>
    </row>
    <row r="33" customFormat="false" ht="15" hidden="false" customHeight="false" outlineLevel="0" collapsed="false">
      <c r="A33" s="19" t="s">
        <v>38</v>
      </c>
      <c r="B33" s="16" t="n">
        <f aca="false">IF(SUMPRODUCT(Producao!$D$2:$D$811*(Producao!$P$2:$P$811=3)*((($B$4="Todas")+(Producao!$B$2:$B$811=$B$4))&gt;0))=0,0,(SUMPRODUCT(Producao!$I$2:$I$811*(Producao!$P$2:$P$811=3)*((($B$4="Todas")+(Producao!$B$2:$B$811=$B$4))&gt;0))/SUMPRODUCT(Producao!$D$2:$D$811*(Producao!$P$2:$P$811=3)*((($B$4="Todas")+(Producao!$B$2:$B$811=$B$4))&gt;0)))*(SUMPRODUCT(Producao!$F$2:$F$811*(Producao!$P$2:$P$811=3)*((($B$4="Todas")+(Producao!$B$2:$B$811=$B$4))&gt;0))/SUMPRODUCT(Producao!$J$2:$J$811*(Producao!$P$2:$P$811=3)*((($B$4="Todas")+(Producao!$B$2:$B$811=$B$4))&gt;0)))*(SUMPRODUCT(Producao!$G$2:$G$811*(Producao!$P$2:$P$811=3)*((($B$4="Todas")+(Producao!$B$2:$B$811=$B$4))&gt;0))/SUMPRODUCT(Producao!$F$2:$F$811*(Producao!$P$2:$P$811=3)*((($B$4="Todas")+(Producao!$B$2:$B$811=$B$4))&gt;0))))</f>
        <v>0.713869889322612</v>
      </c>
      <c r="C33" s="21" t="n">
        <f aca="false">$F$4</f>
        <v>0.85</v>
      </c>
    </row>
    <row r="34" customFormat="false" ht="15" hidden="false" customHeight="false" outlineLevel="0" collapsed="false">
      <c r="A34" s="19" t="s">
        <v>39</v>
      </c>
      <c r="B34" s="16" t="n">
        <f aca="false">IF(SUMPRODUCT(Producao!$D$2:$D$811*(Producao!$P$2:$P$811=4)*((($B$4="Todas")+(Producao!$B$2:$B$811=$B$4))&gt;0))=0,0,(SUMPRODUCT(Producao!$I$2:$I$811*(Producao!$P$2:$P$811=4)*((($B$4="Todas")+(Producao!$B$2:$B$811=$B$4))&gt;0))/SUMPRODUCT(Producao!$D$2:$D$811*(Producao!$P$2:$P$811=4)*((($B$4="Todas")+(Producao!$B$2:$B$811=$B$4))&gt;0)))*(SUMPRODUCT(Producao!$F$2:$F$811*(Producao!$P$2:$P$811=4)*((($B$4="Todas")+(Producao!$B$2:$B$811=$B$4))&gt;0))/SUMPRODUCT(Producao!$J$2:$J$811*(Producao!$P$2:$P$811=4)*((($B$4="Todas")+(Producao!$B$2:$B$811=$B$4))&gt;0)))*(SUMPRODUCT(Producao!$G$2:$G$811*(Producao!$P$2:$P$811=4)*((($B$4="Todas")+(Producao!$B$2:$B$811=$B$4))&gt;0))/SUMPRODUCT(Producao!$F$2:$F$811*(Producao!$P$2:$P$811=4)*((($B$4="Todas")+(Producao!$B$2:$B$811=$B$4))&gt;0))))</f>
        <v>0.6920368712509</v>
      </c>
      <c r="C34" s="21" t="n">
        <f aca="false">$F$4</f>
        <v>0.85</v>
      </c>
    </row>
    <row r="35" customFormat="false" ht="15" hidden="false" customHeight="false" outlineLevel="0" collapsed="false">
      <c r="A35" s="19" t="s">
        <v>40</v>
      </c>
      <c r="B35" s="16" t="n">
        <f aca="false">IF(SUMPRODUCT(Producao!$D$2:$D$811*(Producao!$P$2:$P$811=5)*((($B$4="Todas")+(Producao!$B$2:$B$811=$B$4))&gt;0))=0,0,(SUMPRODUCT(Producao!$I$2:$I$811*(Producao!$P$2:$P$811=5)*((($B$4="Todas")+(Producao!$B$2:$B$811=$B$4))&gt;0))/SUMPRODUCT(Producao!$D$2:$D$811*(Producao!$P$2:$P$811=5)*((($B$4="Todas")+(Producao!$B$2:$B$811=$B$4))&gt;0)))*(SUMPRODUCT(Producao!$F$2:$F$811*(Producao!$P$2:$P$811=5)*((($B$4="Todas")+(Producao!$B$2:$B$811=$B$4))&gt;0))/SUMPRODUCT(Producao!$J$2:$J$811*(Producao!$P$2:$P$811=5)*((($B$4="Todas")+(Producao!$B$2:$B$811=$B$4))&gt;0)))*(SUMPRODUCT(Producao!$G$2:$G$811*(Producao!$P$2:$P$811=5)*((($B$4="Todas")+(Producao!$B$2:$B$811=$B$4))&gt;0))/SUMPRODUCT(Producao!$F$2:$F$811*(Producao!$P$2:$P$811=5)*((($B$4="Todas")+(Producao!$B$2:$B$811=$B$4))&gt;0))))</f>
        <v>0.69458529188255</v>
      </c>
      <c r="C35" s="21" t="n">
        <f aca="false">$F$4</f>
        <v>0.85</v>
      </c>
    </row>
    <row r="36" customFormat="false" ht="15" hidden="false" customHeight="false" outlineLevel="0" collapsed="false">
      <c r="A36" s="19" t="s">
        <v>41</v>
      </c>
      <c r="B36" s="16" t="n">
        <f aca="false">IF(SUMPRODUCT(Producao!$D$2:$D$811*(Producao!$P$2:$P$811=6)*((($B$4="Todas")+(Producao!$B$2:$B$811=$B$4))&gt;0))=0,0,(SUMPRODUCT(Producao!$I$2:$I$811*(Producao!$P$2:$P$811=6)*((($B$4="Todas")+(Producao!$B$2:$B$811=$B$4))&gt;0))/SUMPRODUCT(Producao!$D$2:$D$811*(Producao!$P$2:$P$811=6)*((($B$4="Todas")+(Producao!$B$2:$B$811=$B$4))&gt;0)))*(SUMPRODUCT(Producao!$F$2:$F$811*(Producao!$P$2:$P$811=6)*((($B$4="Todas")+(Producao!$B$2:$B$811=$B$4))&gt;0))/SUMPRODUCT(Producao!$J$2:$J$811*(Producao!$P$2:$P$811=6)*((($B$4="Todas")+(Producao!$B$2:$B$811=$B$4))&gt;0)))*(SUMPRODUCT(Producao!$G$2:$G$811*(Producao!$P$2:$P$811=6)*((($B$4="Todas")+(Producao!$B$2:$B$811=$B$4))&gt;0))/SUMPRODUCT(Producao!$F$2:$F$811*(Producao!$P$2:$P$811=6)*((($B$4="Todas")+(Producao!$B$2:$B$811=$B$4))&gt;0))))</f>
        <v>0.700465745688043</v>
      </c>
      <c r="C36" s="21" t="n">
        <f aca="false">$F$4</f>
        <v>0.85</v>
      </c>
    </row>
    <row r="37" customFormat="false" ht="15" hidden="false" customHeight="false" outlineLevel="0" collapsed="false">
      <c r="A37" s="19" t="s">
        <v>42</v>
      </c>
      <c r="B37" s="16" t="n">
        <f aca="false">IF(SUMPRODUCT(Producao!$D$2:$D$811*(Producao!$P$2:$P$811=7)*((($B$4="Todas")+(Producao!$B$2:$B$811=$B$4))&gt;0))=0,0,(SUMPRODUCT(Producao!$I$2:$I$811*(Producao!$P$2:$P$811=7)*((($B$4="Todas")+(Producao!$B$2:$B$811=$B$4))&gt;0))/SUMPRODUCT(Producao!$D$2:$D$811*(Producao!$P$2:$P$811=7)*((($B$4="Todas")+(Producao!$B$2:$B$811=$B$4))&gt;0)))*(SUMPRODUCT(Producao!$F$2:$F$811*(Producao!$P$2:$P$811=7)*((($B$4="Todas")+(Producao!$B$2:$B$811=$B$4))&gt;0))/SUMPRODUCT(Producao!$J$2:$J$811*(Producao!$P$2:$P$811=7)*((($B$4="Todas")+(Producao!$B$2:$B$811=$B$4))&gt;0)))*(SUMPRODUCT(Producao!$G$2:$G$811*(Producao!$P$2:$P$811=7)*((($B$4="Todas")+(Producao!$B$2:$B$811=$B$4))&gt;0))/SUMPRODUCT(Producao!$F$2:$F$811*(Producao!$P$2:$P$811=7)*((($B$4="Todas")+(Producao!$B$2:$B$811=$B$4))&gt;0))))</f>
        <v>0.709247250489565</v>
      </c>
      <c r="C37" s="21" t="n">
        <f aca="false">$F$4</f>
        <v>0.85</v>
      </c>
    </row>
    <row r="38" customFormat="false" ht="15" hidden="false" customHeight="false" outlineLevel="0" collapsed="false">
      <c r="A38" s="19" t="s">
        <v>43</v>
      </c>
      <c r="B38" s="16" t="n">
        <f aca="false">IF(SUMPRODUCT(Producao!$D$2:$D$811*(Producao!$P$2:$P$811=8)*((($B$4="Todas")+(Producao!$B$2:$B$811=$B$4))&gt;0))=0,0,(SUMPRODUCT(Producao!$I$2:$I$811*(Producao!$P$2:$P$811=8)*((($B$4="Todas")+(Producao!$B$2:$B$811=$B$4))&gt;0))/SUMPRODUCT(Producao!$D$2:$D$811*(Producao!$P$2:$P$811=8)*((($B$4="Todas")+(Producao!$B$2:$B$811=$B$4))&gt;0)))*(SUMPRODUCT(Producao!$F$2:$F$811*(Producao!$P$2:$P$811=8)*((($B$4="Todas")+(Producao!$B$2:$B$811=$B$4))&gt;0))/SUMPRODUCT(Producao!$J$2:$J$811*(Producao!$P$2:$P$811=8)*((($B$4="Todas")+(Producao!$B$2:$B$811=$B$4))&gt;0)))*(SUMPRODUCT(Producao!$G$2:$G$811*(Producao!$P$2:$P$811=8)*((($B$4="Todas")+(Producao!$B$2:$B$811=$B$4))&gt;0))/SUMPRODUCT(Producao!$F$2:$F$811*(Producao!$P$2:$P$811=8)*((($B$4="Todas")+(Producao!$B$2:$B$811=$B$4))&gt;0))))</f>
        <v>0.700337585799325</v>
      </c>
      <c r="C38" s="21" t="n">
        <f aca="false">$F$4</f>
        <v>0.85</v>
      </c>
    </row>
    <row r="39" customFormat="false" ht="15" hidden="false" customHeight="false" outlineLevel="0" collapsed="false">
      <c r="A39" s="19" t="s">
        <v>44</v>
      </c>
      <c r="B39" s="16" t="n">
        <f aca="false">IF(SUMPRODUCT(Producao!$D$2:$D$811*(Producao!$P$2:$P$811=9)*((($B$4="Todas")+(Producao!$B$2:$B$811=$B$4))&gt;0))=0,0,(SUMPRODUCT(Producao!$I$2:$I$811*(Producao!$P$2:$P$811=9)*((($B$4="Todas")+(Producao!$B$2:$B$811=$B$4))&gt;0))/SUMPRODUCT(Producao!$D$2:$D$811*(Producao!$P$2:$P$811=9)*((($B$4="Todas")+(Producao!$B$2:$B$811=$B$4))&gt;0)))*(SUMPRODUCT(Producao!$F$2:$F$811*(Producao!$P$2:$P$811=9)*((($B$4="Todas")+(Producao!$B$2:$B$811=$B$4))&gt;0))/SUMPRODUCT(Producao!$J$2:$J$811*(Producao!$P$2:$P$811=9)*((($B$4="Todas")+(Producao!$B$2:$B$811=$B$4))&gt;0)))*(SUMPRODUCT(Producao!$G$2:$G$811*(Producao!$P$2:$P$811=9)*((($B$4="Todas")+(Producao!$B$2:$B$811=$B$4))&gt;0))/SUMPRODUCT(Producao!$F$2:$F$811*(Producao!$P$2:$P$811=9)*((($B$4="Todas")+(Producao!$B$2:$B$811=$B$4))&gt;0))))</f>
        <v>0.714686957981159</v>
      </c>
      <c r="C39" s="21" t="n">
        <f aca="false">$F$4</f>
        <v>0.85</v>
      </c>
    </row>
    <row r="40" customFormat="false" ht="15" hidden="false" customHeight="false" outlineLevel="0" collapsed="false">
      <c r="A40" s="19" t="s">
        <v>45</v>
      </c>
      <c r="B40" s="16" t="n">
        <f aca="false">IF(SUMPRODUCT(Producao!$D$2:$D$811*(Producao!$P$2:$P$811=10)*((($B$4="Todas")+(Producao!$B$2:$B$811=$B$4))&gt;0))=0,0,(SUMPRODUCT(Producao!$I$2:$I$811*(Producao!$P$2:$P$811=10)*((($B$4="Todas")+(Producao!$B$2:$B$811=$B$4))&gt;0))/SUMPRODUCT(Producao!$D$2:$D$811*(Producao!$P$2:$P$811=10)*((($B$4="Todas")+(Producao!$B$2:$B$811=$B$4))&gt;0)))*(SUMPRODUCT(Producao!$F$2:$F$811*(Producao!$P$2:$P$811=10)*((($B$4="Todas")+(Producao!$B$2:$B$811=$B$4))&gt;0))/SUMPRODUCT(Producao!$J$2:$J$811*(Producao!$P$2:$P$811=10)*((($B$4="Todas")+(Producao!$B$2:$B$811=$B$4))&gt;0)))*(SUMPRODUCT(Producao!$G$2:$G$811*(Producao!$P$2:$P$811=10)*((($B$4="Todas")+(Producao!$B$2:$B$811=$B$4))&gt;0))/SUMPRODUCT(Producao!$F$2:$F$811*(Producao!$P$2:$P$811=10)*((($B$4="Todas")+(Producao!$B$2:$B$811=$B$4))&gt;0))))</f>
        <v>0.700034003141587</v>
      </c>
      <c r="C40" s="21" t="n">
        <f aca="false">$F$4</f>
        <v>0.85</v>
      </c>
    </row>
    <row r="41" customFormat="false" ht="15" hidden="false" customHeight="false" outlineLevel="0" collapsed="false">
      <c r="A41" s="19" t="s">
        <v>46</v>
      </c>
      <c r="B41" s="16" t="n">
        <f aca="false">IF(SUMPRODUCT(Producao!$D$2:$D$811*(Producao!$P$2:$P$811=11)*((($B$4="Todas")+(Producao!$B$2:$B$811=$B$4))&gt;0))=0,0,(SUMPRODUCT(Producao!$I$2:$I$811*(Producao!$P$2:$P$811=11)*((($B$4="Todas")+(Producao!$B$2:$B$811=$B$4))&gt;0))/SUMPRODUCT(Producao!$D$2:$D$811*(Producao!$P$2:$P$811=11)*((($B$4="Todas")+(Producao!$B$2:$B$811=$B$4))&gt;0)))*(SUMPRODUCT(Producao!$F$2:$F$811*(Producao!$P$2:$P$811=11)*((($B$4="Todas")+(Producao!$B$2:$B$811=$B$4))&gt;0))/SUMPRODUCT(Producao!$J$2:$J$811*(Producao!$P$2:$P$811=11)*((($B$4="Todas")+(Producao!$B$2:$B$811=$B$4))&gt;0)))*(SUMPRODUCT(Producao!$G$2:$G$811*(Producao!$P$2:$P$811=11)*((($B$4="Todas")+(Producao!$B$2:$B$811=$B$4))&gt;0))/SUMPRODUCT(Producao!$F$2:$F$811*(Producao!$P$2:$P$811=11)*((($B$4="Todas")+(Producao!$B$2:$B$811=$B$4))&gt;0))))</f>
        <v>0.683137015186673</v>
      </c>
      <c r="C41" s="21" t="n">
        <f aca="false">$F$4</f>
        <v>0.85</v>
      </c>
    </row>
    <row r="42" customFormat="false" ht="15" hidden="false" customHeight="false" outlineLevel="0" collapsed="false">
      <c r="A42" s="19" t="s">
        <v>47</v>
      </c>
      <c r="B42" s="16" t="n">
        <f aca="false">IF(SUMPRODUCT(Producao!$D$2:$D$811*(Producao!$P$2:$P$811=12)*((($B$4="Todas")+(Producao!$B$2:$B$811=$B$4))&gt;0))=0,0,(SUMPRODUCT(Producao!$I$2:$I$811*(Producao!$P$2:$P$811=12)*((($B$4="Todas")+(Producao!$B$2:$B$811=$B$4))&gt;0))/SUMPRODUCT(Producao!$D$2:$D$811*(Producao!$P$2:$P$811=12)*((($B$4="Todas")+(Producao!$B$2:$B$811=$B$4))&gt;0)))*(SUMPRODUCT(Producao!$F$2:$F$811*(Producao!$P$2:$P$811=12)*((($B$4="Todas")+(Producao!$B$2:$B$811=$B$4))&gt;0))/SUMPRODUCT(Producao!$J$2:$J$811*(Producao!$P$2:$P$811=12)*((($B$4="Todas")+(Producao!$B$2:$B$811=$B$4))&gt;0)))*(SUMPRODUCT(Producao!$G$2:$G$811*(Producao!$P$2:$P$811=12)*((($B$4="Todas")+(Producao!$B$2:$B$811=$B$4))&gt;0))/SUMPRODUCT(Producao!$F$2:$F$811*(Producao!$P$2:$P$811=12)*((($B$4="Todas")+(Producao!$B$2:$B$811=$B$4))&gt;0))))</f>
        <v>0.7176127548308</v>
      </c>
      <c r="C42" s="21" t="n">
        <f aca="false">$F$4</f>
        <v>0.85</v>
      </c>
    </row>
    <row r="43" customFormat="false" ht="15" hidden="false" customHeight="false" outlineLevel="0" collapsed="false">
      <c r="A43" s="19" t="s">
        <v>48</v>
      </c>
      <c r="B43" s="16" t="n">
        <f aca="false">IF(SUMPRODUCT(Producao!$D$2:$D$811*(Producao!$P$2:$P$811=13)*((($B$4="Todas")+(Producao!$B$2:$B$811=$B$4))&gt;0))=0,0,(SUMPRODUCT(Producao!$I$2:$I$811*(Producao!$P$2:$P$811=13)*((($B$4="Todas")+(Producao!$B$2:$B$811=$B$4))&gt;0))/SUMPRODUCT(Producao!$D$2:$D$811*(Producao!$P$2:$P$811=13)*((($B$4="Todas")+(Producao!$B$2:$B$811=$B$4))&gt;0)))*(SUMPRODUCT(Producao!$F$2:$F$811*(Producao!$P$2:$P$811=13)*((($B$4="Todas")+(Producao!$B$2:$B$811=$B$4))&gt;0))/SUMPRODUCT(Producao!$J$2:$J$811*(Producao!$P$2:$P$811=13)*((($B$4="Todas")+(Producao!$B$2:$B$811=$B$4))&gt;0)))*(SUMPRODUCT(Producao!$G$2:$G$811*(Producao!$P$2:$P$811=13)*((($B$4="Todas")+(Producao!$B$2:$B$811=$B$4))&gt;0))/SUMPRODUCT(Producao!$F$2:$F$811*(Producao!$P$2:$P$811=13)*((($B$4="Todas")+(Producao!$B$2:$B$811=$B$4))&gt;0))))</f>
        <v>0.713762868515618</v>
      </c>
      <c r="C43" s="21" t="n">
        <f aca="false">$F$4</f>
        <v>0.85</v>
      </c>
    </row>
  </sheetData>
  <dataValidations count="2">
    <dataValidation allowBlank="false" errorStyle="stop" operator="between" showDropDown="false" showErrorMessage="false" showInputMessage="false" sqref="B4" type="list">
      <formula1>Listas!$A$2:$A$5</formula1>
      <formula2>0</formula2>
    </dataValidation>
    <dataValidation allowBlank="false" errorStyle="stop" operator="between" showDropDown="false" showErrorMessage="false" showInputMessage="false" sqref="D4" type="list">
      <formula1>Listas!$B$2:$B$5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22" t="s">
        <v>49</v>
      </c>
    </row>
    <row r="2" customFormat="false" ht="15" hidden="false" customHeight="false" outlineLevel="0" collapsed="false">
      <c r="A2" s="23"/>
    </row>
    <row r="3" customFormat="false" ht="15" hidden="false" customHeight="false" outlineLevel="0" collapsed="false">
      <c r="A3" s="23" t="s">
        <v>50</v>
      </c>
    </row>
    <row r="4" customFormat="false" ht="15" hidden="false" customHeight="false" outlineLevel="0" collapsed="false">
      <c r="A4" s="23"/>
    </row>
    <row r="5" customFormat="false" ht="15" hidden="false" customHeight="false" outlineLevel="0" collapsed="false">
      <c r="A5" s="23" t="s">
        <v>51</v>
      </c>
    </row>
    <row r="6" customFormat="false" ht="15" hidden="false" customHeight="false" outlineLevel="0" collapsed="false">
      <c r="A6" s="23" t="s">
        <v>52</v>
      </c>
    </row>
    <row r="7" customFormat="false" ht="15" hidden="false" customHeight="false" outlineLevel="0" collapsed="false">
      <c r="A7" s="23" t="s">
        <v>53</v>
      </c>
    </row>
    <row r="8" customFormat="false" ht="15" hidden="false" customHeight="false" outlineLevel="0" collapsed="false">
      <c r="A8" s="23" t="s">
        <v>54</v>
      </c>
    </row>
    <row r="9" customFormat="false" ht="15" hidden="false" customHeight="false" outlineLevel="0" collapsed="false">
      <c r="A9" s="23" t="s">
        <v>55</v>
      </c>
    </row>
    <row r="10" customFormat="false" ht="15" hidden="false" customHeight="false" outlineLevel="0" collapsed="false">
      <c r="A10" s="23"/>
    </row>
    <row r="11" customFormat="false" ht="15" hidden="false" customHeight="false" outlineLevel="0" collapsed="false">
      <c r="A11" s="23" t="s">
        <v>56</v>
      </c>
    </row>
    <row r="12" customFormat="false" ht="15" hidden="false" customHeight="false" outlineLevel="0" collapsed="false">
      <c r="A12" s="23" t="s">
        <v>57</v>
      </c>
    </row>
    <row r="13" customFormat="false" ht="15" hidden="false" customHeight="false" outlineLevel="0" collapsed="false">
      <c r="A13" s="23" t="s">
        <v>58</v>
      </c>
    </row>
    <row r="14" customFormat="false" ht="15" hidden="false" customHeight="false" outlineLevel="0" collapsed="false">
      <c r="A14" s="23" t="s">
        <v>59</v>
      </c>
    </row>
    <row r="15" customFormat="false" ht="15" hidden="false" customHeight="false" outlineLevel="0" collapsed="false">
      <c r="A15" s="23" t="s">
        <v>60</v>
      </c>
    </row>
    <row r="16" customFormat="false" ht="15" hidden="false" customHeight="false" outlineLevel="0" collapsed="false">
      <c r="A16" s="23"/>
    </row>
    <row r="17" customFormat="false" ht="15" hidden="false" customHeight="false" outlineLevel="0" collapsed="false">
      <c r="A17" s="23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7" min="4" style="0" width="12"/>
    <col collapsed="false" customWidth="true" hidden="false" outlineLevel="0" max="8" min="8" style="0" width="11"/>
    <col collapsed="false" customWidth="true" hidden="false" outlineLevel="0" max="10" min="9" style="0" width="12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9"/>
    <col collapsed="false" customWidth="true" hidden="false" outlineLevel="0" max="15" min="15" style="0" width="6"/>
    <col collapsed="false" customWidth="true" hidden="false" outlineLevel="0" max="16" min="16" style="0" width="8"/>
  </cols>
  <sheetData>
    <row r="1" customFormat="false" ht="31.5" hidden="false" customHeight="true" outlineLevel="0" collapsed="false">
      <c r="A1" s="24" t="s">
        <v>62</v>
      </c>
      <c r="B1" s="24" t="s">
        <v>2</v>
      </c>
      <c r="C1" s="24" t="s">
        <v>63</v>
      </c>
      <c r="D1" s="24" t="s">
        <v>64</v>
      </c>
      <c r="E1" s="24" t="s">
        <v>65</v>
      </c>
      <c r="F1" s="24" t="s">
        <v>66</v>
      </c>
      <c r="G1" s="24" t="s">
        <v>67</v>
      </c>
      <c r="H1" s="24" t="s">
        <v>68</v>
      </c>
      <c r="I1" s="24" t="s">
        <v>69</v>
      </c>
      <c r="J1" s="24" t="s">
        <v>70</v>
      </c>
      <c r="K1" s="24" t="s">
        <v>8</v>
      </c>
      <c r="L1" s="24" t="s">
        <v>9</v>
      </c>
      <c r="M1" s="24" t="s">
        <v>10</v>
      </c>
      <c r="N1" s="24" t="s">
        <v>7</v>
      </c>
      <c r="O1" s="24" t="s">
        <v>71</v>
      </c>
      <c r="P1" s="24" t="s">
        <v>34</v>
      </c>
    </row>
    <row r="2" customFormat="false" ht="15" hidden="false" customHeight="false" outlineLevel="0" collapsed="false">
      <c r="A2" s="25" t="n">
        <v>46204</v>
      </c>
      <c r="B2" s="26" t="s">
        <v>16</v>
      </c>
      <c r="C2" s="26" t="s">
        <v>72</v>
      </c>
      <c r="D2" s="26" t="n">
        <v>480</v>
      </c>
      <c r="E2" s="26" t="n">
        <v>12</v>
      </c>
      <c r="F2" s="26" t="n">
        <v>4127</v>
      </c>
      <c r="G2" s="26" t="n">
        <v>4051</v>
      </c>
      <c r="H2" s="19" t="n">
        <f aca="false">SUMIFS(Paradas!$E$2:$E$1973,Paradas!$A$2:$A$1973,A2,Paradas!$B$2:$B$1973,B2,Paradas!$C$2:$C$1973,C2)</f>
        <v>105</v>
      </c>
      <c r="I2" s="19" t="n">
        <f aca="false">D2-H2</f>
        <v>375</v>
      </c>
      <c r="J2" s="19" t="n">
        <f aca="false">I2*E2</f>
        <v>4500</v>
      </c>
      <c r="K2" s="16" t="n">
        <f aca="false">IF(D2=0,0,I2/D2)</f>
        <v>0.78125</v>
      </c>
      <c r="L2" s="16" t="n">
        <f aca="false">IF(J2=0,0,F2/J2)</f>
        <v>0.917111111111111</v>
      </c>
      <c r="M2" s="16" t="n">
        <f aca="false">IF(F2=0,0,G2/F2)</f>
        <v>0.981584686212745</v>
      </c>
      <c r="N2" s="16" t="n">
        <f aca="false">K2*L2*M2</f>
        <v>0.703298611111111</v>
      </c>
      <c r="O2" s="19" t="n">
        <f aca="false">MONTH(A2)</f>
        <v>7</v>
      </c>
      <c r="P2" s="19" t="n">
        <f aca="false">INT((A2-DATE(2026,7,1))/7)+1</f>
        <v>1</v>
      </c>
    </row>
    <row r="3" customFormat="false" ht="15" hidden="false" customHeight="false" outlineLevel="0" collapsed="false">
      <c r="A3" s="25" t="n">
        <v>46204</v>
      </c>
      <c r="B3" s="26" t="s">
        <v>16</v>
      </c>
      <c r="C3" s="26" t="s">
        <v>73</v>
      </c>
      <c r="D3" s="26" t="n">
        <v>480</v>
      </c>
      <c r="E3" s="26" t="n">
        <v>12</v>
      </c>
      <c r="F3" s="26" t="n">
        <v>4248</v>
      </c>
      <c r="G3" s="26" t="n">
        <v>4135</v>
      </c>
      <c r="H3" s="19" t="n">
        <f aca="false">SUMIFS(Paradas!$E$2:$E$1973,Paradas!$A$2:$A$1973,A3,Paradas!$B$2:$B$1973,B3,Paradas!$C$2:$C$1973,C3)</f>
        <v>65</v>
      </c>
      <c r="I3" s="19" t="n">
        <f aca="false">D3-H3</f>
        <v>415</v>
      </c>
      <c r="J3" s="19" t="n">
        <f aca="false">I3*E3</f>
        <v>4980</v>
      </c>
      <c r="K3" s="16" t="n">
        <f aca="false">IF(D3=0,0,I3/D3)</f>
        <v>0.864583333333333</v>
      </c>
      <c r="L3" s="16" t="n">
        <f aca="false">IF(J3=0,0,F3/J3)</f>
        <v>0.853012048192771</v>
      </c>
      <c r="M3" s="16" t="n">
        <f aca="false">IF(F3=0,0,G3/F3)</f>
        <v>0.973399246704331</v>
      </c>
      <c r="N3" s="16" t="n">
        <f aca="false">K3*L3*M3</f>
        <v>0.717881944444444</v>
      </c>
      <c r="O3" s="19" t="n">
        <f aca="false">MONTH(A3)</f>
        <v>7</v>
      </c>
      <c r="P3" s="19" t="n">
        <f aca="false">INT((A3-DATE(2026,7,1))/7)+1</f>
        <v>1</v>
      </c>
    </row>
    <row r="4" customFormat="false" ht="15" hidden="false" customHeight="false" outlineLevel="0" collapsed="false">
      <c r="A4" s="25" t="n">
        <v>46204</v>
      </c>
      <c r="B4" s="26" t="s">
        <v>16</v>
      </c>
      <c r="C4" s="26" t="s">
        <v>74</v>
      </c>
      <c r="D4" s="26" t="n">
        <v>480</v>
      </c>
      <c r="E4" s="26" t="n">
        <v>12</v>
      </c>
      <c r="F4" s="26" t="n">
        <v>4281</v>
      </c>
      <c r="G4" s="26" t="n">
        <v>4079</v>
      </c>
      <c r="H4" s="19" t="n">
        <f aca="false">SUMIFS(Paradas!$E$2:$E$1973,Paradas!$A$2:$A$1973,A4,Paradas!$B$2:$B$1973,B4,Paradas!$C$2:$C$1973,C4)</f>
        <v>57</v>
      </c>
      <c r="I4" s="19" t="n">
        <f aca="false">D4-H4</f>
        <v>423</v>
      </c>
      <c r="J4" s="19" t="n">
        <f aca="false">I4*E4</f>
        <v>5076</v>
      </c>
      <c r="K4" s="16" t="n">
        <f aca="false">IF(D4=0,0,I4/D4)</f>
        <v>0.88125</v>
      </c>
      <c r="L4" s="16" t="n">
        <f aca="false">IF(J4=0,0,F4/J4)</f>
        <v>0.84338061465721</v>
      </c>
      <c r="M4" s="16" t="n">
        <f aca="false">IF(F4=0,0,G4/F4)</f>
        <v>0.952814762905863</v>
      </c>
      <c r="N4" s="16" t="n">
        <f aca="false">K4*L4*M4</f>
        <v>0.708159722222222</v>
      </c>
      <c r="O4" s="19" t="n">
        <f aca="false">MONTH(A4)</f>
        <v>7</v>
      </c>
      <c r="P4" s="19" t="n">
        <f aca="false">INT((A4-DATE(2026,7,1))/7)+1</f>
        <v>1</v>
      </c>
    </row>
    <row r="5" customFormat="false" ht="15" hidden="false" customHeight="false" outlineLevel="0" collapsed="false">
      <c r="A5" s="25" t="n">
        <v>46204</v>
      </c>
      <c r="B5" s="26" t="s">
        <v>17</v>
      </c>
      <c r="C5" s="26" t="s">
        <v>72</v>
      </c>
      <c r="D5" s="26" t="n">
        <v>480</v>
      </c>
      <c r="E5" s="26" t="n">
        <v>10</v>
      </c>
      <c r="F5" s="26" t="n">
        <v>2939</v>
      </c>
      <c r="G5" s="26" t="n">
        <v>2810</v>
      </c>
      <c r="H5" s="19" t="n">
        <f aca="false">SUMIFS(Paradas!$E$2:$E$1973,Paradas!$A$2:$A$1973,A5,Paradas!$B$2:$B$1973,B5,Paradas!$C$2:$C$1973,C5)</f>
        <v>152</v>
      </c>
      <c r="I5" s="19" t="n">
        <f aca="false">D5-H5</f>
        <v>328</v>
      </c>
      <c r="J5" s="19" t="n">
        <f aca="false">I5*E5</f>
        <v>3280</v>
      </c>
      <c r="K5" s="16" t="n">
        <f aca="false">IF(D5=0,0,I5/D5)</f>
        <v>0.683333333333333</v>
      </c>
      <c r="L5" s="16" t="n">
        <f aca="false">IF(J5=0,0,F5/J5)</f>
        <v>0.896036585365854</v>
      </c>
      <c r="M5" s="16" t="n">
        <f aca="false">IF(F5=0,0,G5/F5)</f>
        <v>0.956107519564478</v>
      </c>
      <c r="N5" s="16" t="n">
        <f aca="false">K5*L5*M5</f>
        <v>0.585416666666667</v>
      </c>
      <c r="O5" s="19" t="n">
        <f aca="false">MONTH(A5)</f>
        <v>7</v>
      </c>
      <c r="P5" s="19" t="n">
        <f aca="false">INT((A5-DATE(2026,7,1))/7)+1</f>
        <v>1</v>
      </c>
    </row>
    <row r="6" customFormat="false" ht="15" hidden="false" customHeight="false" outlineLevel="0" collapsed="false">
      <c r="A6" s="25" t="n">
        <v>46204</v>
      </c>
      <c r="B6" s="26" t="s">
        <v>17</v>
      </c>
      <c r="C6" s="26" t="s">
        <v>73</v>
      </c>
      <c r="D6" s="26" t="n">
        <v>480</v>
      </c>
      <c r="E6" s="26" t="n">
        <v>10</v>
      </c>
      <c r="F6" s="26" t="n">
        <v>2877</v>
      </c>
      <c r="G6" s="26" t="n">
        <v>2767</v>
      </c>
      <c r="H6" s="19" t="n">
        <f aca="false">SUMIFS(Paradas!$E$2:$E$1973,Paradas!$A$2:$A$1973,A6,Paradas!$B$2:$B$1973,B6,Paradas!$C$2:$C$1973,C6)</f>
        <v>158</v>
      </c>
      <c r="I6" s="19" t="n">
        <f aca="false">D6-H6</f>
        <v>322</v>
      </c>
      <c r="J6" s="19" t="n">
        <f aca="false">I6*E6</f>
        <v>3220</v>
      </c>
      <c r="K6" s="16" t="n">
        <f aca="false">IF(D6=0,0,I6/D6)</f>
        <v>0.670833333333333</v>
      </c>
      <c r="L6" s="16" t="n">
        <f aca="false">IF(J6=0,0,F6/J6)</f>
        <v>0.893478260869565</v>
      </c>
      <c r="M6" s="16" t="n">
        <f aca="false">IF(F6=0,0,G6/F6)</f>
        <v>0.961765728189086</v>
      </c>
      <c r="N6" s="16" t="n">
        <f aca="false">K6*L6*M6</f>
        <v>0.576458333333333</v>
      </c>
      <c r="O6" s="19" t="n">
        <f aca="false">MONTH(A6)</f>
        <v>7</v>
      </c>
      <c r="P6" s="19" t="n">
        <f aca="false">INT((A6-DATE(2026,7,1))/7)+1</f>
        <v>1</v>
      </c>
    </row>
    <row r="7" customFormat="false" ht="15" hidden="false" customHeight="false" outlineLevel="0" collapsed="false">
      <c r="A7" s="25" t="n">
        <v>46204</v>
      </c>
      <c r="B7" s="26" t="s">
        <v>17</v>
      </c>
      <c r="C7" s="26" t="s">
        <v>74</v>
      </c>
      <c r="D7" s="26" t="n">
        <v>480</v>
      </c>
      <c r="E7" s="26" t="n">
        <v>10</v>
      </c>
      <c r="F7" s="26" t="n">
        <v>2841</v>
      </c>
      <c r="G7" s="26" t="n">
        <v>2704</v>
      </c>
      <c r="H7" s="19" t="n">
        <f aca="false">SUMIFS(Paradas!$E$2:$E$1973,Paradas!$A$2:$A$1973,A7,Paradas!$B$2:$B$1973,B7,Paradas!$C$2:$C$1973,C7)</f>
        <v>155</v>
      </c>
      <c r="I7" s="19" t="n">
        <f aca="false">D7-H7</f>
        <v>325</v>
      </c>
      <c r="J7" s="19" t="n">
        <f aca="false">I7*E7</f>
        <v>3250</v>
      </c>
      <c r="K7" s="16" t="n">
        <f aca="false">IF(D7=0,0,I7/D7)</f>
        <v>0.677083333333333</v>
      </c>
      <c r="L7" s="16" t="n">
        <f aca="false">IF(J7=0,0,F7/J7)</f>
        <v>0.874153846153846</v>
      </c>
      <c r="M7" s="16" t="n">
        <f aca="false">IF(F7=0,0,G7/F7)</f>
        <v>0.95177754311862</v>
      </c>
      <c r="N7" s="16" t="n">
        <f aca="false">K7*L7*M7</f>
        <v>0.563333333333333</v>
      </c>
      <c r="O7" s="19" t="n">
        <f aca="false">MONTH(A7)</f>
        <v>7</v>
      </c>
      <c r="P7" s="19" t="n">
        <f aca="false">INT((A7-DATE(2026,7,1))/7)+1</f>
        <v>1</v>
      </c>
    </row>
    <row r="8" customFormat="false" ht="15" hidden="false" customHeight="false" outlineLevel="0" collapsed="false">
      <c r="A8" s="25" t="n">
        <v>46204</v>
      </c>
      <c r="B8" s="26" t="s">
        <v>18</v>
      </c>
      <c r="C8" s="26" t="s">
        <v>72</v>
      </c>
      <c r="D8" s="26" t="n">
        <v>480</v>
      </c>
      <c r="E8" s="26" t="n">
        <v>8</v>
      </c>
      <c r="F8" s="26" t="n">
        <v>3216</v>
      </c>
      <c r="G8" s="26" t="n">
        <v>3137</v>
      </c>
      <c r="H8" s="19" t="n">
        <f aca="false">SUMIFS(Paradas!$E$2:$E$1973,Paradas!$A$2:$A$1973,A8,Paradas!$B$2:$B$1973,B8,Paradas!$C$2:$C$1973,C8)</f>
        <v>28</v>
      </c>
      <c r="I8" s="19" t="n">
        <f aca="false">D8-H8</f>
        <v>452</v>
      </c>
      <c r="J8" s="19" t="n">
        <f aca="false">I8*E8</f>
        <v>3616</v>
      </c>
      <c r="K8" s="16" t="n">
        <f aca="false">IF(D8=0,0,I8/D8)</f>
        <v>0.941666666666667</v>
      </c>
      <c r="L8" s="16" t="n">
        <f aca="false">IF(J8=0,0,F8/J8)</f>
        <v>0.889380530973451</v>
      </c>
      <c r="M8" s="16" t="n">
        <f aca="false">IF(F8=0,0,G8/F8)</f>
        <v>0.975435323383085</v>
      </c>
      <c r="N8" s="16" t="n">
        <f aca="false">K8*L8*M8</f>
        <v>0.816927083333333</v>
      </c>
      <c r="O8" s="19" t="n">
        <f aca="false">MONTH(A8)</f>
        <v>7</v>
      </c>
      <c r="P8" s="19" t="n">
        <f aca="false">INT((A8-DATE(2026,7,1))/7)+1</f>
        <v>1</v>
      </c>
    </row>
    <row r="9" customFormat="false" ht="15" hidden="false" customHeight="false" outlineLevel="0" collapsed="false">
      <c r="A9" s="25" t="n">
        <v>46204</v>
      </c>
      <c r="B9" s="26" t="s">
        <v>18</v>
      </c>
      <c r="C9" s="26" t="s">
        <v>73</v>
      </c>
      <c r="D9" s="26" t="n">
        <v>480</v>
      </c>
      <c r="E9" s="26" t="n">
        <v>8</v>
      </c>
      <c r="F9" s="26" t="n">
        <v>1997</v>
      </c>
      <c r="G9" s="26" t="n">
        <v>1948</v>
      </c>
      <c r="H9" s="19" t="n">
        <f aca="false">SUMIFS(Paradas!$E$2:$E$1973,Paradas!$A$2:$A$1973,A9,Paradas!$B$2:$B$1973,B9,Paradas!$C$2:$C$1973,C9)</f>
        <v>188</v>
      </c>
      <c r="I9" s="19" t="n">
        <f aca="false">D9-H9</f>
        <v>292</v>
      </c>
      <c r="J9" s="19" t="n">
        <f aca="false">I9*E9</f>
        <v>2336</v>
      </c>
      <c r="K9" s="16" t="n">
        <f aca="false">IF(D9=0,0,I9/D9)</f>
        <v>0.608333333333333</v>
      </c>
      <c r="L9" s="16" t="n">
        <f aca="false">IF(J9=0,0,F9/J9)</f>
        <v>0.854880136986301</v>
      </c>
      <c r="M9" s="16" t="n">
        <f aca="false">IF(F9=0,0,G9/F9)</f>
        <v>0.975463194792188</v>
      </c>
      <c r="N9" s="16" t="n">
        <f aca="false">K9*L9*M9</f>
        <v>0.507291666666667</v>
      </c>
      <c r="O9" s="19" t="n">
        <f aca="false">MONTH(A9)</f>
        <v>7</v>
      </c>
      <c r="P9" s="19" t="n">
        <f aca="false">INT((A9-DATE(2026,7,1))/7)+1</f>
        <v>1</v>
      </c>
    </row>
    <row r="10" customFormat="false" ht="15" hidden="false" customHeight="false" outlineLevel="0" collapsed="false">
      <c r="A10" s="25" t="n">
        <v>46204</v>
      </c>
      <c r="B10" s="26" t="s">
        <v>18</v>
      </c>
      <c r="C10" s="26" t="s">
        <v>74</v>
      </c>
      <c r="D10" s="26" t="n">
        <v>480</v>
      </c>
      <c r="E10" s="26" t="n">
        <v>8</v>
      </c>
      <c r="F10" s="26" t="n">
        <v>2763</v>
      </c>
      <c r="G10" s="26" t="n">
        <v>2691</v>
      </c>
      <c r="H10" s="19" t="n">
        <f aca="false">SUMIFS(Paradas!$E$2:$E$1973,Paradas!$A$2:$A$1973,A10,Paradas!$B$2:$B$1973,B10,Paradas!$C$2:$C$1973,C10)</f>
        <v>63</v>
      </c>
      <c r="I10" s="19" t="n">
        <f aca="false">D10-H10</f>
        <v>417</v>
      </c>
      <c r="J10" s="19" t="n">
        <f aca="false">I10*E10</f>
        <v>3336</v>
      </c>
      <c r="K10" s="16" t="n">
        <f aca="false">IF(D10=0,0,I10/D10)</f>
        <v>0.86875</v>
      </c>
      <c r="L10" s="16" t="n">
        <f aca="false">IF(J10=0,0,F10/J10)</f>
        <v>0.828237410071942</v>
      </c>
      <c r="M10" s="16" t="n">
        <f aca="false">IF(F10=0,0,G10/F10)</f>
        <v>0.973941368078176</v>
      </c>
      <c r="N10" s="16" t="n">
        <f aca="false">K10*L10*M10</f>
        <v>0.70078125</v>
      </c>
      <c r="O10" s="19" t="n">
        <f aca="false">MONTH(A10)</f>
        <v>7</v>
      </c>
      <c r="P10" s="19" t="n">
        <f aca="false">INT((A10-DATE(2026,7,1))/7)+1</f>
        <v>1</v>
      </c>
    </row>
    <row r="11" customFormat="false" ht="15" hidden="false" customHeight="false" outlineLevel="0" collapsed="false">
      <c r="A11" s="25" t="n">
        <v>46205</v>
      </c>
      <c r="B11" s="26" t="s">
        <v>16</v>
      </c>
      <c r="C11" s="26" t="s">
        <v>72</v>
      </c>
      <c r="D11" s="26" t="n">
        <v>480</v>
      </c>
      <c r="E11" s="26" t="n">
        <v>12</v>
      </c>
      <c r="F11" s="26" t="n">
        <v>4071</v>
      </c>
      <c r="G11" s="26" t="n">
        <v>4021</v>
      </c>
      <c r="H11" s="19" t="n">
        <f aca="false">SUMIFS(Paradas!$E$2:$E$1973,Paradas!$A$2:$A$1973,A11,Paradas!$B$2:$B$1973,B11,Paradas!$C$2:$C$1973,C11)</f>
        <v>90</v>
      </c>
      <c r="I11" s="19" t="n">
        <f aca="false">D11-H11</f>
        <v>390</v>
      </c>
      <c r="J11" s="19" t="n">
        <f aca="false">I11*E11</f>
        <v>4680</v>
      </c>
      <c r="K11" s="16" t="n">
        <f aca="false">IF(D11=0,0,I11/D11)</f>
        <v>0.8125</v>
      </c>
      <c r="L11" s="16" t="n">
        <f aca="false">IF(J11=0,0,F11/J11)</f>
        <v>0.869871794871795</v>
      </c>
      <c r="M11" s="16" t="n">
        <f aca="false">IF(F11=0,0,G11/F11)</f>
        <v>0.987718005404078</v>
      </c>
      <c r="N11" s="16" t="n">
        <f aca="false">K11*L11*M11</f>
        <v>0.698090277777778</v>
      </c>
      <c r="O11" s="19" t="n">
        <f aca="false">MONTH(A11)</f>
        <v>7</v>
      </c>
      <c r="P11" s="19" t="n">
        <f aca="false">INT((A11-DATE(2026,7,1))/7)+1</f>
        <v>1</v>
      </c>
    </row>
    <row r="12" customFormat="false" ht="15" hidden="false" customHeight="false" outlineLevel="0" collapsed="false">
      <c r="A12" s="25" t="n">
        <v>46205</v>
      </c>
      <c r="B12" s="26" t="s">
        <v>16</v>
      </c>
      <c r="C12" s="26" t="s">
        <v>73</v>
      </c>
      <c r="D12" s="26" t="n">
        <v>480</v>
      </c>
      <c r="E12" s="26" t="n">
        <v>12</v>
      </c>
      <c r="F12" s="26" t="n">
        <v>5202</v>
      </c>
      <c r="G12" s="26" t="n">
        <v>5057</v>
      </c>
      <c r="H12" s="19" t="n">
        <f aca="false">SUMIFS(Paradas!$E$2:$E$1973,Paradas!$A$2:$A$1973,A12,Paradas!$B$2:$B$1973,B12,Paradas!$C$2:$C$1973,C12)</f>
        <v>0</v>
      </c>
      <c r="I12" s="19" t="n">
        <f aca="false">D12-H12</f>
        <v>480</v>
      </c>
      <c r="J12" s="19" t="n">
        <f aca="false">I12*E12</f>
        <v>5760</v>
      </c>
      <c r="K12" s="16" t="n">
        <f aca="false">IF(D12=0,0,I12/D12)</f>
        <v>1</v>
      </c>
      <c r="L12" s="16" t="n">
        <f aca="false">IF(J12=0,0,F12/J12)</f>
        <v>0.903125</v>
      </c>
      <c r="M12" s="16" t="n">
        <f aca="false">IF(F12=0,0,G12/F12)</f>
        <v>0.972126105344098</v>
      </c>
      <c r="N12" s="16" t="n">
        <f aca="false">K12*L12*M12</f>
        <v>0.877951388888889</v>
      </c>
      <c r="O12" s="19" t="n">
        <f aca="false">MONTH(A12)</f>
        <v>7</v>
      </c>
      <c r="P12" s="19" t="n">
        <f aca="false">INT((A12-DATE(2026,7,1))/7)+1</f>
        <v>1</v>
      </c>
    </row>
    <row r="13" customFormat="false" ht="15" hidden="false" customHeight="false" outlineLevel="0" collapsed="false">
      <c r="A13" s="25" t="n">
        <v>46205</v>
      </c>
      <c r="B13" s="26" t="s">
        <v>16</v>
      </c>
      <c r="C13" s="26" t="s">
        <v>74</v>
      </c>
      <c r="D13" s="26" t="n">
        <v>480</v>
      </c>
      <c r="E13" s="26" t="n">
        <v>12</v>
      </c>
      <c r="F13" s="26" t="n">
        <v>4765</v>
      </c>
      <c r="G13" s="26" t="n">
        <v>4620</v>
      </c>
      <c r="H13" s="19" t="n">
        <f aca="false">SUMIFS(Paradas!$E$2:$E$1973,Paradas!$A$2:$A$1973,A13,Paradas!$B$2:$B$1973,B13,Paradas!$C$2:$C$1973,C13)</f>
        <v>27</v>
      </c>
      <c r="I13" s="19" t="n">
        <f aca="false">D13-H13</f>
        <v>453</v>
      </c>
      <c r="J13" s="19" t="n">
        <f aca="false">I13*E13</f>
        <v>5436</v>
      </c>
      <c r="K13" s="16" t="n">
        <f aca="false">IF(D13=0,0,I13/D13)</f>
        <v>0.94375</v>
      </c>
      <c r="L13" s="16" t="n">
        <f aca="false">IF(J13=0,0,F13/J13)</f>
        <v>0.876563649742458</v>
      </c>
      <c r="M13" s="16" t="n">
        <f aca="false">IF(F13=0,0,G13/F13)</f>
        <v>0.969569779643232</v>
      </c>
      <c r="N13" s="16" t="n">
        <f aca="false">K13*L13*M13</f>
        <v>0.802083333333333</v>
      </c>
      <c r="O13" s="19" t="n">
        <f aca="false">MONTH(A13)</f>
        <v>7</v>
      </c>
      <c r="P13" s="19" t="n">
        <f aca="false">INT((A13-DATE(2026,7,1))/7)+1</f>
        <v>1</v>
      </c>
    </row>
    <row r="14" customFormat="false" ht="15" hidden="false" customHeight="false" outlineLevel="0" collapsed="false">
      <c r="A14" s="25" t="n">
        <v>46205</v>
      </c>
      <c r="B14" s="26" t="s">
        <v>17</v>
      </c>
      <c r="C14" s="26" t="s">
        <v>72</v>
      </c>
      <c r="D14" s="26" t="n">
        <v>480</v>
      </c>
      <c r="E14" s="26" t="n">
        <v>10</v>
      </c>
      <c r="F14" s="26" t="n">
        <v>3647</v>
      </c>
      <c r="G14" s="26" t="n">
        <v>3481</v>
      </c>
      <c r="H14" s="19" t="n">
        <f aca="false">SUMIFS(Paradas!$E$2:$E$1973,Paradas!$A$2:$A$1973,A14,Paradas!$B$2:$B$1973,B14,Paradas!$C$2:$C$1973,C14)</f>
        <v>66</v>
      </c>
      <c r="I14" s="19" t="n">
        <f aca="false">D14-H14</f>
        <v>414</v>
      </c>
      <c r="J14" s="19" t="n">
        <f aca="false">I14*E14</f>
        <v>4140</v>
      </c>
      <c r="K14" s="16" t="n">
        <f aca="false">IF(D14=0,0,I14/D14)</f>
        <v>0.8625</v>
      </c>
      <c r="L14" s="16" t="n">
        <f aca="false">IF(J14=0,0,F14/J14)</f>
        <v>0.880917874396135</v>
      </c>
      <c r="M14" s="16" t="n">
        <f aca="false">IF(F14=0,0,G14/F14)</f>
        <v>0.954483136824788</v>
      </c>
      <c r="N14" s="16" t="n">
        <f aca="false">K14*L14*M14</f>
        <v>0.725208333333333</v>
      </c>
      <c r="O14" s="19" t="n">
        <f aca="false">MONTH(A14)</f>
        <v>7</v>
      </c>
      <c r="P14" s="19" t="n">
        <f aca="false">INT((A14-DATE(2026,7,1))/7)+1</f>
        <v>1</v>
      </c>
    </row>
    <row r="15" customFormat="false" ht="15" hidden="false" customHeight="false" outlineLevel="0" collapsed="false">
      <c r="A15" s="25" t="n">
        <v>46205</v>
      </c>
      <c r="B15" s="26" t="s">
        <v>17</v>
      </c>
      <c r="C15" s="26" t="s">
        <v>73</v>
      </c>
      <c r="D15" s="26" t="n">
        <v>480</v>
      </c>
      <c r="E15" s="26" t="n">
        <v>10</v>
      </c>
      <c r="F15" s="26" t="n">
        <v>3608</v>
      </c>
      <c r="G15" s="26" t="n">
        <v>3434</v>
      </c>
      <c r="H15" s="19" t="n">
        <f aca="false">SUMIFS(Paradas!$E$2:$E$1973,Paradas!$A$2:$A$1973,A15,Paradas!$B$2:$B$1973,B15,Paradas!$C$2:$C$1973,C15)</f>
        <v>68</v>
      </c>
      <c r="I15" s="19" t="n">
        <f aca="false">D15-H15</f>
        <v>412</v>
      </c>
      <c r="J15" s="19" t="n">
        <f aca="false">I15*E15</f>
        <v>4120</v>
      </c>
      <c r="K15" s="16" t="n">
        <f aca="false">IF(D15=0,0,I15/D15)</f>
        <v>0.858333333333333</v>
      </c>
      <c r="L15" s="16" t="n">
        <f aca="false">IF(J15=0,0,F15/J15)</f>
        <v>0.875728155339806</v>
      </c>
      <c r="M15" s="16" t="n">
        <f aca="false">IF(F15=0,0,G15/F15)</f>
        <v>0.951773835920177</v>
      </c>
      <c r="N15" s="16" t="n">
        <f aca="false">K15*L15*M15</f>
        <v>0.715416666666667</v>
      </c>
      <c r="O15" s="19" t="n">
        <f aca="false">MONTH(A15)</f>
        <v>7</v>
      </c>
      <c r="P15" s="19" t="n">
        <f aca="false">INT((A15-DATE(2026,7,1))/7)+1</f>
        <v>1</v>
      </c>
    </row>
    <row r="16" customFormat="false" ht="15" hidden="false" customHeight="false" outlineLevel="0" collapsed="false">
      <c r="A16" s="25" t="n">
        <v>46205</v>
      </c>
      <c r="B16" s="26" t="s">
        <v>17</v>
      </c>
      <c r="C16" s="26" t="s">
        <v>74</v>
      </c>
      <c r="D16" s="26" t="n">
        <v>480</v>
      </c>
      <c r="E16" s="26" t="n">
        <v>10</v>
      </c>
      <c r="F16" s="26" t="n">
        <v>2420</v>
      </c>
      <c r="G16" s="26" t="n">
        <v>2329</v>
      </c>
      <c r="H16" s="19" t="n">
        <f aca="false">SUMIFS(Paradas!$E$2:$E$1973,Paradas!$A$2:$A$1973,A16,Paradas!$B$2:$B$1973,B16,Paradas!$C$2:$C$1973,C16)</f>
        <v>173</v>
      </c>
      <c r="I16" s="19" t="n">
        <f aca="false">D16-H16</f>
        <v>307</v>
      </c>
      <c r="J16" s="19" t="n">
        <f aca="false">I16*E16</f>
        <v>3070</v>
      </c>
      <c r="K16" s="16" t="n">
        <f aca="false">IF(D16=0,0,I16/D16)</f>
        <v>0.639583333333333</v>
      </c>
      <c r="L16" s="16" t="n">
        <f aca="false">IF(J16=0,0,F16/J16)</f>
        <v>0.788273615635179</v>
      </c>
      <c r="M16" s="16" t="n">
        <f aca="false">IF(F16=0,0,G16/F16)</f>
        <v>0.962396694214876</v>
      </c>
      <c r="N16" s="16" t="n">
        <f aca="false">K16*L16*M16</f>
        <v>0.485208333333333</v>
      </c>
      <c r="O16" s="19" t="n">
        <f aca="false">MONTH(A16)</f>
        <v>7</v>
      </c>
      <c r="P16" s="19" t="n">
        <f aca="false">INT((A16-DATE(2026,7,1))/7)+1</f>
        <v>1</v>
      </c>
    </row>
    <row r="17" customFormat="false" ht="15" hidden="false" customHeight="false" outlineLevel="0" collapsed="false">
      <c r="A17" s="25" t="n">
        <v>46205</v>
      </c>
      <c r="B17" s="26" t="s">
        <v>18</v>
      </c>
      <c r="C17" s="26" t="s">
        <v>72</v>
      </c>
      <c r="D17" s="26" t="n">
        <v>480</v>
      </c>
      <c r="E17" s="26" t="n">
        <v>8</v>
      </c>
      <c r="F17" s="26" t="n">
        <v>2977</v>
      </c>
      <c r="G17" s="26" t="n">
        <v>2933</v>
      </c>
      <c r="H17" s="19" t="n">
        <f aca="false">SUMIFS(Paradas!$E$2:$E$1973,Paradas!$A$2:$A$1973,A17,Paradas!$B$2:$B$1973,B17,Paradas!$C$2:$C$1973,C17)</f>
        <v>46</v>
      </c>
      <c r="I17" s="19" t="n">
        <f aca="false">D17-H17</f>
        <v>434</v>
      </c>
      <c r="J17" s="19" t="n">
        <f aca="false">I17*E17</f>
        <v>3472</v>
      </c>
      <c r="K17" s="16" t="n">
        <f aca="false">IF(D17=0,0,I17/D17)</f>
        <v>0.904166666666667</v>
      </c>
      <c r="L17" s="16" t="n">
        <f aca="false">IF(J17=0,0,F17/J17)</f>
        <v>0.857430875576037</v>
      </c>
      <c r="M17" s="16" t="n">
        <f aca="false">IF(F17=0,0,G17/F17)</f>
        <v>0.985220020154518</v>
      </c>
      <c r="N17" s="16" t="n">
        <f aca="false">K17*L17*M17</f>
        <v>0.763802083333333</v>
      </c>
      <c r="O17" s="19" t="n">
        <f aca="false">MONTH(A17)</f>
        <v>7</v>
      </c>
      <c r="P17" s="19" t="n">
        <f aca="false">INT((A17-DATE(2026,7,1))/7)+1</f>
        <v>1</v>
      </c>
    </row>
    <row r="18" customFormat="false" ht="15" hidden="false" customHeight="false" outlineLevel="0" collapsed="false">
      <c r="A18" s="25" t="n">
        <v>46205</v>
      </c>
      <c r="B18" s="26" t="s">
        <v>18</v>
      </c>
      <c r="C18" s="26" t="s">
        <v>73</v>
      </c>
      <c r="D18" s="26" t="n">
        <v>480</v>
      </c>
      <c r="E18" s="26" t="n">
        <v>8</v>
      </c>
      <c r="F18" s="26" t="n">
        <v>1919</v>
      </c>
      <c r="G18" s="26" t="n">
        <v>1876</v>
      </c>
      <c r="H18" s="19" t="n">
        <f aca="false">SUMIFS(Paradas!$E$2:$E$1973,Paradas!$A$2:$A$1973,A18,Paradas!$B$2:$B$1973,B18,Paradas!$C$2:$C$1973,C18)</f>
        <v>212</v>
      </c>
      <c r="I18" s="19" t="n">
        <f aca="false">D18-H18</f>
        <v>268</v>
      </c>
      <c r="J18" s="19" t="n">
        <f aca="false">I18*E18</f>
        <v>2144</v>
      </c>
      <c r="K18" s="16" t="n">
        <f aca="false">IF(D18=0,0,I18/D18)</f>
        <v>0.558333333333333</v>
      </c>
      <c r="L18" s="16" t="n">
        <f aca="false">IF(J18=0,0,F18/J18)</f>
        <v>0.895055970149254</v>
      </c>
      <c r="M18" s="16" t="n">
        <f aca="false">IF(F18=0,0,G18/F18)</f>
        <v>0.977592496091714</v>
      </c>
      <c r="N18" s="16" t="n">
        <f aca="false">K18*L18*M18</f>
        <v>0.488541666666667</v>
      </c>
      <c r="O18" s="19" t="n">
        <f aca="false">MONTH(A18)</f>
        <v>7</v>
      </c>
      <c r="P18" s="19" t="n">
        <f aca="false">INT((A18-DATE(2026,7,1))/7)+1</f>
        <v>1</v>
      </c>
    </row>
    <row r="19" customFormat="false" ht="15" hidden="false" customHeight="false" outlineLevel="0" collapsed="false">
      <c r="A19" s="25" t="n">
        <v>46205</v>
      </c>
      <c r="B19" s="26" t="s">
        <v>18</v>
      </c>
      <c r="C19" s="26" t="s">
        <v>74</v>
      </c>
      <c r="D19" s="26" t="n">
        <v>480</v>
      </c>
      <c r="E19" s="26" t="n">
        <v>8</v>
      </c>
      <c r="F19" s="26" t="n">
        <v>2012</v>
      </c>
      <c r="G19" s="26" t="n">
        <v>1923</v>
      </c>
      <c r="H19" s="19" t="n">
        <f aca="false">SUMIFS(Paradas!$E$2:$E$1973,Paradas!$A$2:$A$1973,A19,Paradas!$B$2:$B$1973,B19,Paradas!$C$2:$C$1973,C19)</f>
        <v>194</v>
      </c>
      <c r="I19" s="19" t="n">
        <f aca="false">D19-H19</f>
        <v>286</v>
      </c>
      <c r="J19" s="19" t="n">
        <f aca="false">I19*E19</f>
        <v>2288</v>
      </c>
      <c r="K19" s="16" t="n">
        <f aca="false">IF(D19=0,0,I19/D19)</f>
        <v>0.595833333333333</v>
      </c>
      <c r="L19" s="16" t="n">
        <f aca="false">IF(J19=0,0,F19/J19)</f>
        <v>0.879370629370629</v>
      </c>
      <c r="M19" s="16" t="n">
        <f aca="false">IF(F19=0,0,G19/F19)</f>
        <v>0.955765407554672</v>
      </c>
      <c r="N19" s="16" t="n">
        <f aca="false">K19*L19*M19</f>
        <v>0.50078125</v>
      </c>
      <c r="O19" s="19" t="n">
        <f aca="false">MONTH(A19)</f>
        <v>7</v>
      </c>
      <c r="P19" s="19" t="n">
        <f aca="false">INT((A19-DATE(2026,7,1))/7)+1</f>
        <v>1</v>
      </c>
    </row>
    <row r="20" customFormat="false" ht="15" hidden="false" customHeight="false" outlineLevel="0" collapsed="false">
      <c r="A20" s="25" t="n">
        <v>46206</v>
      </c>
      <c r="B20" s="26" t="s">
        <v>16</v>
      </c>
      <c r="C20" s="26" t="s">
        <v>72</v>
      </c>
      <c r="D20" s="26" t="n">
        <v>480</v>
      </c>
      <c r="E20" s="26" t="n">
        <v>12</v>
      </c>
      <c r="F20" s="26" t="n">
        <v>4657</v>
      </c>
      <c r="G20" s="26" t="n">
        <v>4509</v>
      </c>
      <c r="H20" s="19" t="n">
        <f aca="false">SUMIFS(Paradas!$E$2:$E$1973,Paradas!$A$2:$A$1973,A20,Paradas!$B$2:$B$1973,B20,Paradas!$C$2:$C$1973,C20)</f>
        <v>46</v>
      </c>
      <c r="I20" s="19" t="n">
        <f aca="false">D20-H20</f>
        <v>434</v>
      </c>
      <c r="J20" s="19" t="n">
        <f aca="false">I20*E20</f>
        <v>5208</v>
      </c>
      <c r="K20" s="16" t="n">
        <f aca="false">IF(D20=0,0,I20/D20)</f>
        <v>0.904166666666667</v>
      </c>
      <c r="L20" s="16" t="n">
        <f aca="false">IF(J20=0,0,F20/J20)</f>
        <v>0.894201228878648</v>
      </c>
      <c r="M20" s="16" t="n">
        <f aca="false">IF(F20=0,0,G20/F20)</f>
        <v>0.968219884045523</v>
      </c>
      <c r="N20" s="16" t="n">
        <f aca="false">K20*L20*M20</f>
        <v>0.7828125</v>
      </c>
      <c r="O20" s="19" t="n">
        <f aca="false">MONTH(A20)</f>
        <v>7</v>
      </c>
      <c r="P20" s="19" t="n">
        <f aca="false">INT((A20-DATE(2026,7,1))/7)+1</f>
        <v>1</v>
      </c>
    </row>
    <row r="21" customFormat="false" ht="15" hidden="false" customHeight="false" outlineLevel="0" collapsed="false">
      <c r="A21" s="25" t="n">
        <v>46206</v>
      </c>
      <c r="B21" s="26" t="s">
        <v>16</v>
      </c>
      <c r="C21" s="26" t="s">
        <v>73</v>
      </c>
      <c r="D21" s="26" t="n">
        <v>480</v>
      </c>
      <c r="E21" s="26" t="n">
        <v>12</v>
      </c>
      <c r="F21" s="26" t="n">
        <v>5286</v>
      </c>
      <c r="G21" s="26" t="n">
        <v>5166</v>
      </c>
      <c r="H21" s="19" t="n">
        <f aca="false">SUMIFS(Paradas!$E$2:$E$1973,Paradas!$A$2:$A$1973,A21,Paradas!$B$2:$B$1973,B21,Paradas!$C$2:$C$1973,C21)</f>
        <v>0</v>
      </c>
      <c r="I21" s="19" t="n">
        <f aca="false">D21-H21</f>
        <v>480</v>
      </c>
      <c r="J21" s="19" t="n">
        <f aca="false">I21*E21</f>
        <v>5760</v>
      </c>
      <c r="K21" s="16" t="n">
        <f aca="false">IF(D21=0,0,I21/D21)</f>
        <v>1</v>
      </c>
      <c r="L21" s="16" t="n">
        <f aca="false">IF(J21=0,0,F21/J21)</f>
        <v>0.917708333333333</v>
      </c>
      <c r="M21" s="16" t="n">
        <f aca="false">IF(F21=0,0,G21/F21)</f>
        <v>0.977298524404086</v>
      </c>
      <c r="N21" s="16" t="n">
        <f aca="false">K21*L21*M21</f>
        <v>0.896875</v>
      </c>
      <c r="O21" s="19" t="n">
        <f aca="false">MONTH(A21)</f>
        <v>7</v>
      </c>
      <c r="P21" s="19" t="n">
        <f aca="false">INT((A21-DATE(2026,7,1))/7)+1</f>
        <v>1</v>
      </c>
    </row>
    <row r="22" customFormat="false" ht="15" hidden="false" customHeight="false" outlineLevel="0" collapsed="false">
      <c r="A22" s="25" t="n">
        <v>46206</v>
      </c>
      <c r="B22" s="26" t="s">
        <v>16</v>
      </c>
      <c r="C22" s="26" t="s">
        <v>74</v>
      </c>
      <c r="D22" s="26" t="n">
        <v>480</v>
      </c>
      <c r="E22" s="26" t="n">
        <v>12</v>
      </c>
      <c r="F22" s="26" t="n">
        <v>2733</v>
      </c>
      <c r="G22" s="26" t="n">
        <v>2671</v>
      </c>
      <c r="H22" s="19" t="n">
        <f aca="false">SUMIFS(Paradas!$E$2:$E$1973,Paradas!$A$2:$A$1973,A22,Paradas!$B$2:$B$1973,B22,Paradas!$C$2:$C$1973,C22)</f>
        <v>220</v>
      </c>
      <c r="I22" s="19" t="n">
        <f aca="false">D22-H22</f>
        <v>260</v>
      </c>
      <c r="J22" s="19" t="n">
        <f aca="false">I22*E22</f>
        <v>3120</v>
      </c>
      <c r="K22" s="16" t="n">
        <f aca="false">IF(D22=0,0,I22/D22)</f>
        <v>0.541666666666667</v>
      </c>
      <c r="L22" s="16" t="n">
        <f aca="false">IF(J22=0,0,F22/J22)</f>
        <v>0.875961538461539</v>
      </c>
      <c r="M22" s="16" t="n">
        <f aca="false">IF(F22=0,0,G22/F22)</f>
        <v>0.977314306622759</v>
      </c>
      <c r="N22" s="16" t="n">
        <f aca="false">K22*L22*M22</f>
        <v>0.463715277777778</v>
      </c>
      <c r="O22" s="19" t="n">
        <f aca="false">MONTH(A22)</f>
        <v>7</v>
      </c>
      <c r="P22" s="19" t="n">
        <f aca="false">INT((A22-DATE(2026,7,1))/7)+1</f>
        <v>1</v>
      </c>
    </row>
    <row r="23" customFormat="false" ht="15" hidden="false" customHeight="false" outlineLevel="0" collapsed="false">
      <c r="A23" s="25" t="n">
        <v>46206</v>
      </c>
      <c r="B23" s="26" t="s">
        <v>17</v>
      </c>
      <c r="C23" s="26" t="s">
        <v>72</v>
      </c>
      <c r="D23" s="26" t="n">
        <v>480</v>
      </c>
      <c r="E23" s="26" t="n">
        <v>10</v>
      </c>
      <c r="F23" s="26" t="n">
        <v>3534</v>
      </c>
      <c r="G23" s="26" t="n">
        <v>3334</v>
      </c>
      <c r="H23" s="19" t="n">
        <f aca="false">SUMIFS(Paradas!$E$2:$E$1973,Paradas!$A$2:$A$1973,A23,Paradas!$B$2:$B$1973,B23,Paradas!$C$2:$C$1973,C23)</f>
        <v>88</v>
      </c>
      <c r="I23" s="19" t="n">
        <f aca="false">D23-H23</f>
        <v>392</v>
      </c>
      <c r="J23" s="19" t="n">
        <f aca="false">I23*E23</f>
        <v>3920</v>
      </c>
      <c r="K23" s="16" t="n">
        <f aca="false">IF(D23=0,0,I23/D23)</f>
        <v>0.816666666666667</v>
      </c>
      <c r="L23" s="16" t="n">
        <f aca="false">IF(J23=0,0,F23/J23)</f>
        <v>0.901530612244898</v>
      </c>
      <c r="M23" s="16" t="n">
        <f aca="false">IF(F23=0,0,G23/F23)</f>
        <v>0.943406904357668</v>
      </c>
      <c r="N23" s="16" t="n">
        <f aca="false">K23*L23*M23</f>
        <v>0.694583333333333</v>
      </c>
      <c r="O23" s="19" t="n">
        <f aca="false">MONTH(A23)</f>
        <v>7</v>
      </c>
      <c r="P23" s="19" t="n">
        <f aca="false">INT((A23-DATE(2026,7,1))/7)+1</f>
        <v>1</v>
      </c>
    </row>
    <row r="24" customFormat="false" ht="15" hidden="false" customHeight="false" outlineLevel="0" collapsed="false">
      <c r="A24" s="25" t="n">
        <v>46206</v>
      </c>
      <c r="B24" s="26" t="s">
        <v>17</v>
      </c>
      <c r="C24" s="26" t="s">
        <v>73</v>
      </c>
      <c r="D24" s="26" t="n">
        <v>480</v>
      </c>
      <c r="E24" s="26" t="n">
        <v>10</v>
      </c>
      <c r="F24" s="26" t="n">
        <v>4149</v>
      </c>
      <c r="G24" s="26" t="n">
        <v>3964</v>
      </c>
      <c r="H24" s="19" t="n">
        <f aca="false">SUMIFS(Paradas!$E$2:$E$1973,Paradas!$A$2:$A$1973,A24,Paradas!$B$2:$B$1973,B24,Paradas!$C$2:$C$1973,C24)</f>
        <v>18</v>
      </c>
      <c r="I24" s="19" t="n">
        <f aca="false">D24-H24</f>
        <v>462</v>
      </c>
      <c r="J24" s="19" t="n">
        <f aca="false">I24*E24</f>
        <v>4620</v>
      </c>
      <c r="K24" s="16" t="n">
        <f aca="false">IF(D24=0,0,I24/D24)</f>
        <v>0.9625</v>
      </c>
      <c r="L24" s="16" t="n">
        <f aca="false">IF(J24=0,0,F24/J24)</f>
        <v>0.898051948051948</v>
      </c>
      <c r="M24" s="16" t="n">
        <f aca="false">IF(F24=0,0,G24/F24)</f>
        <v>0.955410942395758</v>
      </c>
      <c r="N24" s="16" t="n">
        <f aca="false">K24*L24*M24</f>
        <v>0.825833333333333</v>
      </c>
      <c r="O24" s="19" t="n">
        <f aca="false">MONTH(A24)</f>
        <v>7</v>
      </c>
      <c r="P24" s="19" t="n">
        <f aca="false">INT((A24-DATE(2026,7,1))/7)+1</f>
        <v>1</v>
      </c>
    </row>
    <row r="25" customFormat="false" ht="15" hidden="false" customHeight="false" outlineLevel="0" collapsed="false">
      <c r="A25" s="25" t="n">
        <v>46206</v>
      </c>
      <c r="B25" s="26" t="s">
        <v>17</v>
      </c>
      <c r="C25" s="26" t="s">
        <v>74</v>
      </c>
      <c r="D25" s="26" t="n">
        <v>480</v>
      </c>
      <c r="E25" s="26" t="n">
        <v>10</v>
      </c>
      <c r="F25" s="26" t="n">
        <v>2811</v>
      </c>
      <c r="G25" s="26" t="n">
        <v>2681</v>
      </c>
      <c r="H25" s="19" t="n">
        <f aca="false">SUMIFS(Paradas!$E$2:$E$1973,Paradas!$A$2:$A$1973,A25,Paradas!$B$2:$B$1973,B25,Paradas!$C$2:$C$1973,C25)</f>
        <v>131</v>
      </c>
      <c r="I25" s="19" t="n">
        <f aca="false">D25-H25</f>
        <v>349</v>
      </c>
      <c r="J25" s="19" t="n">
        <f aca="false">I25*E25</f>
        <v>3490</v>
      </c>
      <c r="K25" s="16" t="n">
        <f aca="false">IF(D25=0,0,I25/D25)</f>
        <v>0.727083333333333</v>
      </c>
      <c r="L25" s="16" t="n">
        <f aca="false">IF(J25=0,0,F25/J25)</f>
        <v>0.805444126074499</v>
      </c>
      <c r="M25" s="16" t="n">
        <f aca="false">IF(F25=0,0,G25/F25)</f>
        <v>0.953753112771256</v>
      </c>
      <c r="N25" s="16" t="n">
        <f aca="false">K25*L25*M25</f>
        <v>0.558541666666667</v>
      </c>
      <c r="O25" s="19" t="n">
        <f aca="false">MONTH(A25)</f>
        <v>7</v>
      </c>
      <c r="P25" s="19" t="n">
        <f aca="false">INT((A25-DATE(2026,7,1))/7)+1</f>
        <v>1</v>
      </c>
    </row>
    <row r="26" customFormat="false" ht="15" hidden="false" customHeight="false" outlineLevel="0" collapsed="false">
      <c r="A26" s="25" t="n">
        <v>46206</v>
      </c>
      <c r="B26" s="26" t="s">
        <v>18</v>
      </c>
      <c r="C26" s="26" t="s">
        <v>72</v>
      </c>
      <c r="D26" s="26" t="n">
        <v>480</v>
      </c>
      <c r="E26" s="26" t="n">
        <v>8</v>
      </c>
      <c r="F26" s="26" t="n">
        <v>2788</v>
      </c>
      <c r="G26" s="26" t="n">
        <v>2717</v>
      </c>
      <c r="H26" s="19" t="n">
        <f aca="false">SUMIFS(Paradas!$E$2:$E$1973,Paradas!$A$2:$A$1973,A26,Paradas!$B$2:$B$1973,B26,Paradas!$C$2:$C$1973,C26)</f>
        <v>49</v>
      </c>
      <c r="I26" s="19" t="n">
        <f aca="false">D26-H26</f>
        <v>431</v>
      </c>
      <c r="J26" s="19" t="n">
        <f aca="false">I26*E26</f>
        <v>3448</v>
      </c>
      <c r="K26" s="16" t="n">
        <f aca="false">IF(D26=0,0,I26/D26)</f>
        <v>0.897916666666667</v>
      </c>
      <c r="L26" s="16" t="n">
        <f aca="false">IF(J26=0,0,F26/J26)</f>
        <v>0.808584686774942</v>
      </c>
      <c r="M26" s="16" t="n">
        <f aca="false">IF(F26=0,0,G26/F26)</f>
        <v>0.974533715925395</v>
      </c>
      <c r="N26" s="16" t="n">
        <f aca="false">K26*L26*M26</f>
        <v>0.707552083333333</v>
      </c>
      <c r="O26" s="19" t="n">
        <f aca="false">MONTH(A26)</f>
        <v>7</v>
      </c>
      <c r="P26" s="19" t="n">
        <f aca="false">INT((A26-DATE(2026,7,1))/7)+1</f>
        <v>1</v>
      </c>
    </row>
    <row r="27" customFormat="false" ht="15" hidden="false" customHeight="false" outlineLevel="0" collapsed="false">
      <c r="A27" s="25" t="n">
        <v>46206</v>
      </c>
      <c r="B27" s="26" t="s">
        <v>18</v>
      </c>
      <c r="C27" s="26" t="s">
        <v>73</v>
      </c>
      <c r="D27" s="26" t="n">
        <v>480</v>
      </c>
      <c r="E27" s="26" t="n">
        <v>8</v>
      </c>
      <c r="F27" s="26" t="n">
        <v>3146</v>
      </c>
      <c r="G27" s="26" t="n">
        <v>3106</v>
      </c>
      <c r="H27" s="19" t="n">
        <f aca="false">SUMIFS(Paradas!$E$2:$E$1973,Paradas!$A$2:$A$1973,A27,Paradas!$B$2:$B$1973,B27,Paradas!$C$2:$C$1973,C27)</f>
        <v>43</v>
      </c>
      <c r="I27" s="19" t="n">
        <f aca="false">D27-H27</f>
        <v>437</v>
      </c>
      <c r="J27" s="19" t="n">
        <f aca="false">I27*E27</f>
        <v>3496</v>
      </c>
      <c r="K27" s="16" t="n">
        <f aca="false">IF(D27=0,0,I27/D27)</f>
        <v>0.910416666666667</v>
      </c>
      <c r="L27" s="16" t="n">
        <f aca="false">IF(J27=0,0,F27/J27)</f>
        <v>0.899885583524028</v>
      </c>
      <c r="M27" s="16" t="n">
        <f aca="false">IF(F27=0,0,G27/F27)</f>
        <v>0.987285441830896</v>
      </c>
      <c r="N27" s="16" t="n">
        <f aca="false">K27*L27*M27</f>
        <v>0.808854166666667</v>
      </c>
      <c r="O27" s="19" t="n">
        <f aca="false">MONTH(A27)</f>
        <v>7</v>
      </c>
      <c r="P27" s="19" t="n">
        <f aca="false">INT((A27-DATE(2026,7,1))/7)+1</f>
        <v>1</v>
      </c>
    </row>
    <row r="28" customFormat="false" ht="15" hidden="false" customHeight="false" outlineLevel="0" collapsed="false">
      <c r="A28" s="25" t="n">
        <v>46206</v>
      </c>
      <c r="B28" s="26" t="s">
        <v>18</v>
      </c>
      <c r="C28" s="26" t="s">
        <v>74</v>
      </c>
      <c r="D28" s="26" t="n">
        <v>480</v>
      </c>
      <c r="E28" s="26" t="n">
        <v>8</v>
      </c>
      <c r="F28" s="26" t="n">
        <v>1838</v>
      </c>
      <c r="G28" s="26" t="n">
        <v>1803</v>
      </c>
      <c r="H28" s="19" t="n">
        <f aca="false">SUMIFS(Paradas!$E$2:$E$1973,Paradas!$A$2:$A$1973,A28,Paradas!$B$2:$B$1973,B28,Paradas!$C$2:$C$1973,C28)</f>
        <v>209</v>
      </c>
      <c r="I28" s="19" t="n">
        <f aca="false">D28-H28</f>
        <v>271</v>
      </c>
      <c r="J28" s="19" t="n">
        <f aca="false">I28*E28</f>
        <v>2168</v>
      </c>
      <c r="K28" s="16" t="n">
        <f aca="false">IF(D28=0,0,I28/D28)</f>
        <v>0.564583333333333</v>
      </c>
      <c r="L28" s="16" t="n">
        <f aca="false">IF(J28=0,0,F28/J28)</f>
        <v>0.847785977859779</v>
      </c>
      <c r="M28" s="16" t="n">
        <f aca="false">IF(F28=0,0,G28/F28)</f>
        <v>0.980957562568009</v>
      </c>
      <c r="N28" s="16" t="n">
        <f aca="false">K28*L28*M28</f>
        <v>0.46953125</v>
      </c>
      <c r="O28" s="19" t="n">
        <f aca="false">MONTH(A28)</f>
        <v>7</v>
      </c>
      <c r="P28" s="19" t="n">
        <f aca="false">INT((A28-DATE(2026,7,1))/7)+1</f>
        <v>1</v>
      </c>
    </row>
    <row r="29" customFormat="false" ht="15" hidden="false" customHeight="false" outlineLevel="0" collapsed="false">
      <c r="A29" s="25" t="n">
        <v>46207</v>
      </c>
      <c r="B29" s="26" t="s">
        <v>16</v>
      </c>
      <c r="C29" s="26" t="s">
        <v>72</v>
      </c>
      <c r="D29" s="26" t="n">
        <v>480</v>
      </c>
      <c r="E29" s="26" t="n">
        <v>12</v>
      </c>
      <c r="F29" s="26" t="n">
        <v>4927</v>
      </c>
      <c r="G29" s="26" t="n">
        <v>4781</v>
      </c>
      <c r="H29" s="19" t="n">
        <f aca="false">SUMIFS(Paradas!$E$2:$E$1973,Paradas!$A$2:$A$1973,A29,Paradas!$B$2:$B$1973,B29,Paradas!$C$2:$C$1973,C29)</f>
        <v>39</v>
      </c>
      <c r="I29" s="19" t="n">
        <f aca="false">D29-H29</f>
        <v>441</v>
      </c>
      <c r="J29" s="19" t="n">
        <f aca="false">I29*E29</f>
        <v>5292</v>
      </c>
      <c r="K29" s="16" t="n">
        <f aca="false">IF(D29=0,0,I29/D29)</f>
        <v>0.91875</v>
      </c>
      <c r="L29" s="16" t="n">
        <f aca="false">IF(J29=0,0,F29/J29)</f>
        <v>0.931027966742252</v>
      </c>
      <c r="M29" s="16" t="n">
        <f aca="false">IF(F29=0,0,G29/F29)</f>
        <v>0.970367363507205</v>
      </c>
      <c r="N29" s="16" t="n">
        <f aca="false">K29*L29*M29</f>
        <v>0.830034722222222</v>
      </c>
      <c r="O29" s="19" t="n">
        <f aca="false">MONTH(A29)</f>
        <v>7</v>
      </c>
      <c r="P29" s="19" t="n">
        <f aca="false">INT((A29-DATE(2026,7,1))/7)+1</f>
        <v>1</v>
      </c>
    </row>
    <row r="30" customFormat="false" ht="15" hidden="false" customHeight="false" outlineLevel="0" collapsed="false">
      <c r="A30" s="25" t="n">
        <v>46207</v>
      </c>
      <c r="B30" s="26" t="s">
        <v>16</v>
      </c>
      <c r="C30" s="26" t="s">
        <v>73</v>
      </c>
      <c r="D30" s="26" t="n">
        <v>480</v>
      </c>
      <c r="E30" s="26" t="n">
        <v>12</v>
      </c>
      <c r="F30" s="26" t="n">
        <v>4907</v>
      </c>
      <c r="G30" s="26" t="n">
        <v>4874</v>
      </c>
      <c r="H30" s="19" t="n">
        <f aca="false">SUMIFS(Paradas!$E$2:$E$1973,Paradas!$A$2:$A$1973,A30,Paradas!$B$2:$B$1973,B30,Paradas!$C$2:$C$1973,C30)</f>
        <v>0</v>
      </c>
      <c r="I30" s="19" t="n">
        <f aca="false">D30-H30</f>
        <v>480</v>
      </c>
      <c r="J30" s="19" t="n">
        <f aca="false">I30*E30</f>
        <v>5760</v>
      </c>
      <c r="K30" s="16" t="n">
        <f aca="false">IF(D30=0,0,I30/D30)</f>
        <v>1</v>
      </c>
      <c r="L30" s="16" t="n">
        <f aca="false">IF(J30=0,0,F30/J30)</f>
        <v>0.851909722222222</v>
      </c>
      <c r="M30" s="16" t="n">
        <f aca="false">IF(F30=0,0,G30/F30)</f>
        <v>0.993274913389036</v>
      </c>
      <c r="N30" s="16" t="n">
        <f aca="false">K30*L30*M30</f>
        <v>0.846180555555556</v>
      </c>
      <c r="O30" s="19" t="n">
        <f aca="false">MONTH(A30)</f>
        <v>7</v>
      </c>
      <c r="P30" s="19" t="n">
        <f aca="false">INT((A30-DATE(2026,7,1))/7)+1</f>
        <v>1</v>
      </c>
    </row>
    <row r="31" customFormat="false" ht="15" hidden="false" customHeight="false" outlineLevel="0" collapsed="false">
      <c r="A31" s="25" t="n">
        <v>46207</v>
      </c>
      <c r="B31" s="26" t="s">
        <v>16</v>
      </c>
      <c r="C31" s="26" t="s">
        <v>74</v>
      </c>
      <c r="D31" s="26" t="n">
        <v>480</v>
      </c>
      <c r="E31" s="26" t="n">
        <v>12</v>
      </c>
      <c r="F31" s="26" t="n">
        <v>5018</v>
      </c>
      <c r="G31" s="26" t="n">
        <v>4877</v>
      </c>
      <c r="H31" s="19" t="n">
        <f aca="false">SUMIFS(Paradas!$E$2:$E$1973,Paradas!$A$2:$A$1973,A31,Paradas!$B$2:$B$1973,B31,Paradas!$C$2:$C$1973,C31)</f>
        <v>0</v>
      </c>
      <c r="I31" s="19" t="n">
        <f aca="false">D31-H31</f>
        <v>480</v>
      </c>
      <c r="J31" s="19" t="n">
        <f aca="false">I31*E31</f>
        <v>5760</v>
      </c>
      <c r="K31" s="16" t="n">
        <f aca="false">IF(D31=0,0,I31/D31)</f>
        <v>1</v>
      </c>
      <c r="L31" s="16" t="n">
        <f aca="false">IF(J31=0,0,F31/J31)</f>
        <v>0.871180555555556</v>
      </c>
      <c r="M31" s="16" t="n">
        <f aca="false">IF(F31=0,0,G31/F31)</f>
        <v>0.97190115583898</v>
      </c>
      <c r="N31" s="16" t="n">
        <f aca="false">K31*L31*M31</f>
        <v>0.846701388888889</v>
      </c>
      <c r="O31" s="19" t="n">
        <f aca="false">MONTH(A31)</f>
        <v>7</v>
      </c>
      <c r="P31" s="19" t="n">
        <f aca="false">INT((A31-DATE(2026,7,1))/7)+1</f>
        <v>1</v>
      </c>
    </row>
    <row r="32" customFormat="false" ht="15" hidden="false" customHeight="false" outlineLevel="0" collapsed="false">
      <c r="A32" s="25" t="n">
        <v>46207</v>
      </c>
      <c r="B32" s="26" t="s">
        <v>17</v>
      </c>
      <c r="C32" s="26" t="s">
        <v>72</v>
      </c>
      <c r="D32" s="26" t="n">
        <v>480</v>
      </c>
      <c r="E32" s="26" t="n">
        <v>10</v>
      </c>
      <c r="F32" s="26" t="n">
        <v>3686</v>
      </c>
      <c r="G32" s="26" t="n">
        <v>3576</v>
      </c>
      <c r="H32" s="19" t="n">
        <f aca="false">SUMIFS(Paradas!$E$2:$E$1973,Paradas!$A$2:$A$1973,A32,Paradas!$B$2:$B$1973,B32,Paradas!$C$2:$C$1973,C32)</f>
        <v>87</v>
      </c>
      <c r="I32" s="19" t="n">
        <f aca="false">D32-H32</f>
        <v>393</v>
      </c>
      <c r="J32" s="19" t="n">
        <f aca="false">I32*E32</f>
        <v>3930</v>
      </c>
      <c r="K32" s="16" t="n">
        <f aca="false">IF(D32=0,0,I32/D32)</f>
        <v>0.81875</v>
      </c>
      <c r="L32" s="16" t="n">
        <f aca="false">IF(J32=0,0,F32/J32)</f>
        <v>0.937913486005089</v>
      </c>
      <c r="M32" s="16" t="n">
        <f aca="false">IF(F32=0,0,G32/F32)</f>
        <v>0.970157352143245</v>
      </c>
      <c r="N32" s="16" t="n">
        <f aca="false">K32*L32*M32</f>
        <v>0.745</v>
      </c>
      <c r="O32" s="19" t="n">
        <f aca="false">MONTH(A32)</f>
        <v>7</v>
      </c>
      <c r="P32" s="19" t="n">
        <f aca="false">INT((A32-DATE(2026,7,1))/7)+1</f>
        <v>1</v>
      </c>
    </row>
    <row r="33" customFormat="false" ht="15" hidden="false" customHeight="false" outlineLevel="0" collapsed="false">
      <c r="A33" s="25" t="n">
        <v>46207</v>
      </c>
      <c r="B33" s="26" t="s">
        <v>17</v>
      </c>
      <c r="C33" s="26" t="s">
        <v>73</v>
      </c>
      <c r="D33" s="26" t="n">
        <v>480</v>
      </c>
      <c r="E33" s="26" t="n">
        <v>10</v>
      </c>
      <c r="F33" s="26" t="n">
        <v>3222</v>
      </c>
      <c r="G33" s="26" t="n">
        <v>3070</v>
      </c>
      <c r="H33" s="19" t="n">
        <f aca="false">SUMIFS(Paradas!$E$2:$E$1973,Paradas!$A$2:$A$1973,A33,Paradas!$B$2:$B$1973,B33,Paradas!$C$2:$C$1973,C33)</f>
        <v>126</v>
      </c>
      <c r="I33" s="19" t="n">
        <f aca="false">D33-H33</f>
        <v>354</v>
      </c>
      <c r="J33" s="19" t="n">
        <f aca="false">I33*E33</f>
        <v>3540</v>
      </c>
      <c r="K33" s="16" t="n">
        <f aca="false">IF(D33=0,0,I33/D33)</f>
        <v>0.7375</v>
      </c>
      <c r="L33" s="16" t="n">
        <f aca="false">IF(J33=0,0,F33/J33)</f>
        <v>0.910169491525424</v>
      </c>
      <c r="M33" s="16" t="n">
        <f aca="false">IF(F33=0,0,G33/F33)</f>
        <v>0.952824332712601</v>
      </c>
      <c r="N33" s="16" t="n">
        <f aca="false">K33*L33*M33</f>
        <v>0.639583333333333</v>
      </c>
      <c r="O33" s="19" t="n">
        <f aca="false">MONTH(A33)</f>
        <v>7</v>
      </c>
      <c r="P33" s="19" t="n">
        <f aca="false">INT((A33-DATE(2026,7,1))/7)+1</f>
        <v>1</v>
      </c>
    </row>
    <row r="34" customFormat="false" ht="15" hidden="false" customHeight="false" outlineLevel="0" collapsed="false">
      <c r="A34" s="25" t="n">
        <v>46207</v>
      </c>
      <c r="B34" s="26" t="s">
        <v>17</v>
      </c>
      <c r="C34" s="26" t="s">
        <v>74</v>
      </c>
      <c r="D34" s="26" t="n">
        <v>480</v>
      </c>
      <c r="E34" s="26" t="n">
        <v>10</v>
      </c>
      <c r="F34" s="26" t="n">
        <v>2958</v>
      </c>
      <c r="G34" s="26" t="n">
        <v>2836</v>
      </c>
      <c r="H34" s="19" t="n">
        <f aca="false">SUMIFS(Paradas!$E$2:$E$1973,Paradas!$A$2:$A$1973,A34,Paradas!$B$2:$B$1973,B34,Paradas!$C$2:$C$1973,C34)</f>
        <v>106</v>
      </c>
      <c r="I34" s="19" t="n">
        <f aca="false">D34-H34</f>
        <v>374</v>
      </c>
      <c r="J34" s="19" t="n">
        <f aca="false">I34*E34</f>
        <v>3740</v>
      </c>
      <c r="K34" s="16" t="n">
        <f aca="false">IF(D34=0,0,I34/D34)</f>
        <v>0.779166666666667</v>
      </c>
      <c r="L34" s="16" t="n">
        <f aca="false">IF(J34=0,0,F34/J34)</f>
        <v>0.790909090909091</v>
      </c>
      <c r="M34" s="16" t="n">
        <f aca="false">IF(F34=0,0,G34/F34)</f>
        <v>0.958755916159567</v>
      </c>
      <c r="N34" s="16" t="n">
        <f aca="false">K34*L34*M34</f>
        <v>0.590833333333333</v>
      </c>
      <c r="O34" s="19" t="n">
        <f aca="false">MONTH(A34)</f>
        <v>7</v>
      </c>
      <c r="P34" s="19" t="n">
        <f aca="false">INT((A34-DATE(2026,7,1))/7)+1</f>
        <v>1</v>
      </c>
    </row>
    <row r="35" customFormat="false" ht="15" hidden="false" customHeight="false" outlineLevel="0" collapsed="false">
      <c r="A35" s="25" t="n">
        <v>46207</v>
      </c>
      <c r="B35" s="26" t="s">
        <v>18</v>
      </c>
      <c r="C35" s="26" t="s">
        <v>72</v>
      </c>
      <c r="D35" s="26" t="n">
        <v>480</v>
      </c>
      <c r="E35" s="26" t="n">
        <v>8</v>
      </c>
      <c r="F35" s="26" t="n">
        <v>2425</v>
      </c>
      <c r="G35" s="26" t="n">
        <v>2338</v>
      </c>
      <c r="H35" s="19" t="n">
        <f aca="false">SUMIFS(Paradas!$E$2:$E$1973,Paradas!$A$2:$A$1973,A35,Paradas!$B$2:$B$1973,B35,Paradas!$C$2:$C$1973,C35)</f>
        <v>146</v>
      </c>
      <c r="I35" s="19" t="n">
        <f aca="false">D35-H35</f>
        <v>334</v>
      </c>
      <c r="J35" s="19" t="n">
        <f aca="false">I35*E35</f>
        <v>2672</v>
      </c>
      <c r="K35" s="16" t="n">
        <f aca="false">IF(D35=0,0,I35/D35)</f>
        <v>0.695833333333333</v>
      </c>
      <c r="L35" s="16" t="n">
        <f aca="false">IF(J35=0,0,F35/J35)</f>
        <v>0.907559880239521</v>
      </c>
      <c r="M35" s="16" t="n">
        <f aca="false">IF(F35=0,0,G35/F35)</f>
        <v>0.964123711340206</v>
      </c>
      <c r="N35" s="16" t="n">
        <f aca="false">K35*L35*M35</f>
        <v>0.608854166666667</v>
      </c>
      <c r="O35" s="19" t="n">
        <f aca="false">MONTH(A35)</f>
        <v>7</v>
      </c>
      <c r="P35" s="19" t="n">
        <f aca="false">INT((A35-DATE(2026,7,1))/7)+1</f>
        <v>1</v>
      </c>
    </row>
    <row r="36" customFormat="false" ht="15" hidden="false" customHeight="false" outlineLevel="0" collapsed="false">
      <c r="A36" s="25" t="n">
        <v>46207</v>
      </c>
      <c r="B36" s="26" t="s">
        <v>18</v>
      </c>
      <c r="C36" s="26" t="s">
        <v>73</v>
      </c>
      <c r="D36" s="26" t="n">
        <v>480</v>
      </c>
      <c r="E36" s="26" t="n">
        <v>8</v>
      </c>
      <c r="F36" s="26" t="n">
        <v>2088</v>
      </c>
      <c r="G36" s="26" t="n">
        <v>2038</v>
      </c>
      <c r="H36" s="19" t="n">
        <f aca="false">SUMIFS(Paradas!$E$2:$E$1973,Paradas!$A$2:$A$1973,A36,Paradas!$B$2:$B$1973,B36,Paradas!$C$2:$C$1973,C36)</f>
        <v>192</v>
      </c>
      <c r="I36" s="19" t="n">
        <f aca="false">D36-H36</f>
        <v>288</v>
      </c>
      <c r="J36" s="19" t="n">
        <f aca="false">I36*E36</f>
        <v>2304</v>
      </c>
      <c r="K36" s="16" t="n">
        <f aca="false">IF(D36=0,0,I36/D36)</f>
        <v>0.6</v>
      </c>
      <c r="L36" s="16" t="n">
        <f aca="false">IF(J36=0,0,F36/J36)</f>
        <v>0.90625</v>
      </c>
      <c r="M36" s="16" t="n">
        <f aca="false">IF(F36=0,0,G36/F36)</f>
        <v>0.976053639846743</v>
      </c>
      <c r="N36" s="16" t="n">
        <f aca="false">K36*L36*M36</f>
        <v>0.530729166666667</v>
      </c>
      <c r="O36" s="19" t="n">
        <f aca="false">MONTH(A36)</f>
        <v>7</v>
      </c>
      <c r="P36" s="19" t="n">
        <f aca="false">INT((A36-DATE(2026,7,1))/7)+1</f>
        <v>1</v>
      </c>
    </row>
    <row r="37" customFormat="false" ht="15" hidden="false" customHeight="false" outlineLevel="0" collapsed="false">
      <c r="A37" s="25" t="n">
        <v>46207</v>
      </c>
      <c r="B37" s="26" t="s">
        <v>18</v>
      </c>
      <c r="C37" s="26" t="s">
        <v>74</v>
      </c>
      <c r="D37" s="26" t="n">
        <v>480</v>
      </c>
      <c r="E37" s="26" t="n">
        <v>8</v>
      </c>
      <c r="F37" s="26" t="n">
        <v>2702</v>
      </c>
      <c r="G37" s="26" t="n">
        <v>2609</v>
      </c>
      <c r="H37" s="19" t="n">
        <f aca="false">SUMIFS(Paradas!$E$2:$E$1973,Paradas!$A$2:$A$1973,A37,Paradas!$B$2:$B$1973,B37,Paradas!$C$2:$C$1973,C37)</f>
        <v>107</v>
      </c>
      <c r="I37" s="19" t="n">
        <f aca="false">D37-H37</f>
        <v>373</v>
      </c>
      <c r="J37" s="19" t="n">
        <f aca="false">I37*E37</f>
        <v>2984</v>
      </c>
      <c r="K37" s="16" t="n">
        <f aca="false">IF(D37=0,0,I37/D37)</f>
        <v>0.777083333333333</v>
      </c>
      <c r="L37" s="16" t="n">
        <f aca="false">IF(J37=0,0,F37/J37)</f>
        <v>0.905495978552279</v>
      </c>
      <c r="M37" s="16" t="n">
        <f aca="false">IF(F37=0,0,G37/F37)</f>
        <v>0.965581051073279</v>
      </c>
      <c r="N37" s="16" t="n">
        <f aca="false">K37*L37*M37</f>
        <v>0.679427083333333</v>
      </c>
      <c r="O37" s="19" t="n">
        <f aca="false">MONTH(A37)</f>
        <v>7</v>
      </c>
      <c r="P37" s="19" t="n">
        <f aca="false">INT((A37-DATE(2026,7,1))/7)+1</f>
        <v>1</v>
      </c>
    </row>
    <row r="38" customFormat="false" ht="15" hidden="false" customHeight="false" outlineLevel="0" collapsed="false">
      <c r="A38" s="25" t="n">
        <v>46208</v>
      </c>
      <c r="B38" s="26" t="s">
        <v>16</v>
      </c>
      <c r="C38" s="26" t="s">
        <v>72</v>
      </c>
      <c r="D38" s="26" t="n">
        <v>480</v>
      </c>
      <c r="E38" s="26" t="n">
        <v>12</v>
      </c>
      <c r="F38" s="26" t="n">
        <v>4021</v>
      </c>
      <c r="G38" s="26" t="n">
        <v>3911</v>
      </c>
      <c r="H38" s="19" t="n">
        <f aca="false">SUMIFS(Paradas!$E$2:$E$1973,Paradas!$A$2:$A$1973,A38,Paradas!$B$2:$B$1973,B38,Paradas!$C$2:$C$1973,C38)</f>
        <v>107</v>
      </c>
      <c r="I38" s="19" t="n">
        <f aca="false">D38-H38</f>
        <v>373</v>
      </c>
      <c r="J38" s="19" t="n">
        <f aca="false">I38*E38</f>
        <v>4476</v>
      </c>
      <c r="K38" s="16" t="n">
        <f aca="false">IF(D38=0,0,I38/D38)</f>
        <v>0.777083333333333</v>
      </c>
      <c r="L38" s="16" t="n">
        <f aca="false">IF(J38=0,0,F38/J38)</f>
        <v>0.898346738159071</v>
      </c>
      <c r="M38" s="16" t="n">
        <f aca="false">IF(F38=0,0,G38/F38)</f>
        <v>0.972643620989804</v>
      </c>
      <c r="N38" s="16" t="n">
        <f aca="false">K38*L38*M38</f>
        <v>0.678993055555556</v>
      </c>
      <c r="O38" s="19" t="n">
        <f aca="false">MONTH(A38)</f>
        <v>7</v>
      </c>
      <c r="P38" s="19" t="n">
        <f aca="false">INT((A38-DATE(2026,7,1))/7)+1</f>
        <v>1</v>
      </c>
    </row>
    <row r="39" customFormat="false" ht="15" hidden="false" customHeight="false" outlineLevel="0" collapsed="false">
      <c r="A39" s="25" t="n">
        <v>46208</v>
      </c>
      <c r="B39" s="26" t="s">
        <v>16</v>
      </c>
      <c r="C39" s="26" t="s">
        <v>73</v>
      </c>
      <c r="D39" s="26" t="n">
        <v>480</v>
      </c>
      <c r="E39" s="26" t="n">
        <v>12</v>
      </c>
      <c r="F39" s="26" t="n">
        <v>5123</v>
      </c>
      <c r="G39" s="26" t="n">
        <v>4958</v>
      </c>
      <c r="H39" s="19" t="n">
        <f aca="false">SUMIFS(Paradas!$E$2:$E$1973,Paradas!$A$2:$A$1973,A39,Paradas!$B$2:$B$1973,B39,Paradas!$C$2:$C$1973,C39)</f>
        <v>0</v>
      </c>
      <c r="I39" s="19" t="n">
        <f aca="false">D39-H39</f>
        <v>480</v>
      </c>
      <c r="J39" s="19" t="n">
        <f aca="false">I39*E39</f>
        <v>5760</v>
      </c>
      <c r="K39" s="16" t="n">
        <f aca="false">IF(D39=0,0,I39/D39)</f>
        <v>1</v>
      </c>
      <c r="L39" s="16" t="n">
        <f aca="false">IF(J39=0,0,F39/J39)</f>
        <v>0.889409722222222</v>
      </c>
      <c r="M39" s="16" t="n">
        <f aca="false">IF(F39=0,0,G39/F39)</f>
        <v>0.967792309193832</v>
      </c>
      <c r="N39" s="16" t="n">
        <f aca="false">K39*L39*M39</f>
        <v>0.860763888888889</v>
      </c>
      <c r="O39" s="19" t="n">
        <f aca="false">MONTH(A39)</f>
        <v>7</v>
      </c>
      <c r="P39" s="19" t="n">
        <f aca="false">INT((A39-DATE(2026,7,1))/7)+1</f>
        <v>1</v>
      </c>
    </row>
    <row r="40" customFormat="false" ht="15" hidden="false" customHeight="false" outlineLevel="0" collapsed="false">
      <c r="A40" s="25" t="n">
        <v>46208</v>
      </c>
      <c r="B40" s="26" t="s">
        <v>16</v>
      </c>
      <c r="C40" s="26" t="s">
        <v>74</v>
      </c>
      <c r="D40" s="26" t="n">
        <v>480</v>
      </c>
      <c r="E40" s="26" t="n">
        <v>12</v>
      </c>
      <c r="F40" s="26" t="n">
        <v>4530</v>
      </c>
      <c r="G40" s="26" t="n">
        <v>4407</v>
      </c>
      <c r="H40" s="19" t="n">
        <f aca="false">SUMIFS(Paradas!$E$2:$E$1973,Paradas!$A$2:$A$1973,A40,Paradas!$B$2:$B$1973,B40,Paradas!$C$2:$C$1973,C40)</f>
        <v>51</v>
      </c>
      <c r="I40" s="19" t="n">
        <f aca="false">D40-H40</f>
        <v>429</v>
      </c>
      <c r="J40" s="19" t="n">
        <f aca="false">I40*E40</f>
        <v>5148</v>
      </c>
      <c r="K40" s="16" t="n">
        <f aca="false">IF(D40=0,0,I40/D40)</f>
        <v>0.89375</v>
      </c>
      <c r="L40" s="16" t="n">
        <f aca="false">IF(J40=0,0,F40/J40)</f>
        <v>0.87995337995338</v>
      </c>
      <c r="M40" s="16" t="n">
        <f aca="false">IF(F40=0,0,G40/F40)</f>
        <v>0.972847682119205</v>
      </c>
      <c r="N40" s="16" t="n">
        <f aca="false">K40*L40*M40</f>
        <v>0.765104166666667</v>
      </c>
      <c r="O40" s="19" t="n">
        <f aca="false">MONTH(A40)</f>
        <v>7</v>
      </c>
      <c r="P40" s="19" t="n">
        <f aca="false">INT((A40-DATE(2026,7,1))/7)+1</f>
        <v>1</v>
      </c>
    </row>
    <row r="41" customFormat="false" ht="15" hidden="false" customHeight="false" outlineLevel="0" collapsed="false">
      <c r="A41" s="25" t="n">
        <v>46208</v>
      </c>
      <c r="B41" s="26" t="s">
        <v>17</v>
      </c>
      <c r="C41" s="26" t="s">
        <v>72</v>
      </c>
      <c r="D41" s="26" t="n">
        <v>480</v>
      </c>
      <c r="E41" s="26" t="n">
        <v>10</v>
      </c>
      <c r="F41" s="26" t="n">
        <v>2954</v>
      </c>
      <c r="G41" s="26" t="n">
        <v>2854</v>
      </c>
      <c r="H41" s="19" t="n">
        <f aca="false">SUMIFS(Paradas!$E$2:$E$1973,Paradas!$A$2:$A$1973,A41,Paradas!$B$2:$B$1973,B41,Paradas!$C$2:$C$1973,C41)</f>
        <v>151</v>
      </c>
      <c r="I41" s="19" t="n">
        <f aca="false">D41-H41</f>
        <v>329</v>
      </c>
      <c r="J41" s="19" t="n">
        <f aca="false">I41*E41</f>
        <v>3290</v>
      </c>
      <c r="K41" s="16" t="n">
        <f aca="false">IF(D41=0,0,I41/D41)</f>
        <v>0.685416666666667</v>
      </c>
      <c r="L41" s="16" t="n">
        <f aca="false">IF(J41=0,0,F41/J41)</f>
        <v>0.897872340425532</v>
      </c>
      <c r="M41" s="16" t="n">
        <f aca="false">IF(F41=0,0,G41/F41)</f>
        <v>0.96614759647935</v>
      </c>
      <c r="N41" s="16" t="n">
        <f aca="false">K41*L41*M41</f>
        <v>0.594583333333333</v>
      </c>
      <c r="O41" s="19" t="n">
        <f aca="false">MONTH(A41)</f>
        <v>7</v>
      </c>
      <c r="P41" s="19" t="n">
        <f aca="false">INT((A41-DATE(2026,7,1))/7)+1</f>
        <v>1</v>
      </c>
    </row>
    <row r="42" customFormat="false" ht="15" hidden="false" customHeight="false" outlineLevel="0" collapsed="false">
      <c r="A42" s="25" t="n">
        <v>46208</v>
      </c>
      <c r="B42" s="26" t="s">
        <v>17</v>
      </c>
      <c r="C42" s="26" t="s">
        <v>73</v>
      </c>
      <c r="D42" s="26" t="n">
        <v>480</v>
      </c>
      <c r="E42" s="26" t="n">
        <v>10</v>
      </c>
      <c r="F42" s="26" t="n">
        <v>3134</v>
      </c>
      <c r="G42" s="26" t="n">
        <v>2992</v>
      </c>
      <c r="H42" s="19" t="n">
        <f aca="false">SUMIFS(Paradas!$E$2:$E$1973,Paradas!$A$2:$A$1973,A42,Paradas!$B$2:$B$1973,B42,Paradas!$C$2:$C$1973,C42)</f>
        <v>135</v>
      </c>
      <c r="I42" s="19" t="n">
        <f aca="false">D42-H42</f>
        <v>345</v>
      </c>
      <c r="J42" s="19" t="n">
        <f aca="false">I42*E42</f>
        <v>3450</v>
      </c>
      <c r="K42" s="16" t="n">
        <f aca="false">IF(D42=0,0,I42/D42)</f>
        <v>0.71875</v>
      </c>
      <c r="L42" s="16" t="n">
        <f aca="false">IF(J42=0,0,F42/J42)</f>
        <v>0.908405797101449</v>
      </c>
      <c r="M42" s="16" t="n">
        <f aca="false">IF(F42=0,0,G42/F42)</f>
        <v>0.954690491384812</v>
      </c>
      <c r="N42" s="16" t="n">
        <f aca="false">K42*L42*M42</f>
        <v>0.623333333333333</v>
      </c>
      <c r="O42" s="19" t="n">
        <f aca="false">MONTH(A42)</f>
        <v>7</v>
      </c>
      <c r="P42" s="19" t="n">
        <f aca="false">INT((A42-DATE(2026,7,1))/7)+1</f>
        <v>1</v>
      </c>
    </row>
    <row r="43" customFormat="false" ht="15" hidden="false" customHeight="false" outlineLevel="0" collapsed="false">
      <c r="A43" s="25" t="n">
        <v>46208</v>
      </c>
      <c r="B43" s="26" t="s">
        <v>17</v>
      </c>
      <c r="C43" s="26" t="s">
        <v>74</v>
      </c>
      <c r="D43" s="26" t="n">
        <v>480</v>
      </c>
      <c r="E43" s="26" t="n">
        <v>10</v>
      </c>
      <c r="F43" s="26" t="n">
        <v>3359</v>
      </c>
      <c r="G43" s="26" t="n">
        <v>3255</v>
      </c>
      <c r="H43" s="19" t="n">
        <f aca="false">SUMIFS(Paradas!$E$2:$E$1973,Paradas!$A$2:$A$1973,A43,Paradas!$B$2:$B$1973,B43,Paradas!$C$2:$C$1973,C43)</f>
        <v>79</v>
      </c>
      <c r="I43" s="19" t="n">
        <f aca="false">D43-H43</f>
        <v>401</v>
      </c>
      <c r="J43" s="19" t="n">
        <f aca="false">I43*E43</f>
        <v>4010</v>
      </c>
      <c r="K43" s="16" t="n">
        <f aca="false">IF(D43=0,0,I43/D43)</f>
        <v>0.835416666666667</v>
      </c>
      <c r="L43" s="16" t="n">
        <f aca="false">IF(J43=0,0,F43/J43)</f>
        <v>0.837655860349127</v>
      </c>
      <c r="M43" s="16" t="n">
        <f aca="false">IF(F43=0,0,G43/F43)</f>
        <v>0.96903840428699</v>
      </c>
      <c r="N43" s="16" t="n">
        <f aca="false">K43*L43*M43</f>
        <v>0.678125</v>
      </c>
      <c r="O43" s="19" t="n">
        <f aca="false">MONTH(A43)</f>
        <v>7</v>
      </c>
      <c r="P43" s="19" t="n">
        <f aca="false">INT((A43-DATE(2026,7,1))/7)+1</f>
        <v>1</v>
      </c>
    </row>
    <row r="44" customFormat="false" ht="15" hidden="false" customHeight="false" outlineLevel="0" collapsed="false">
      <c r="A44" s="25" t="n">
        <v>46208</v>
      </c>
      <c r="B44" s="26" t="s">
        <v>18</v>
      </c>
      <c r="C44" s="26" t="s">
        <v>72</v>
      </c>
      <c r="D44" s="26" t="n">
        <v>480</v>
      </c>
      <c r="E44" s="26" t="n">
        <v>8</v>
      </c>
      <c r="F44" s="26" t="n">
        <v>3124</v>
      </c>
      <c r="G44" s="26" t="n">
        <v>3080</v>
      </c>
      <c r="H44" s="19" t="n">
        <f aca="false">SUMIFS(Paradas!$E$2:$E$1973,Paradas!$A$2:$A$1973,A44,Paradas!$B$2:$B$1973,B44,Paradas!$C$2:$C$1973,C44)</f>
        <v>29</v>
      </c>
      <c r="I44" s="19" t="n">
        <f aca="false">D44-H44</f>
        <v>451</v>
      </c>
      <c r="J44" s="19" t="n">
        <f aca="false">I44*E44</f>
        <v>3608</v>
      </c>
      <c r="K44" s="16" t="n">
        <f aca="false">IF(D44=0,0,I44/D44)</f>
        <v>0.939583333333333</v>
      </c>
      <c r="L44" s="16" t="n">
        <f aca="false">IF(J44=0,0,F44/J44)</f>
        <v>0.865853658536585</v>
      </c>
      <c r="M44" s="16" t="n">
        <f aca="false">IF(F44=0,0,G44/F44)</f>
        <v>0.985915492957747</v>
      </c>
      <c r="N44" s="16" t="n">
        <f aca="false">K44*L44*M44</f>
        <v>0.802083333333333</v>
      </c>
      <c r="O44" s="19" t="n">
        <f aca="false">MONTH(A44)</f>
        <v>7</v>
      </c>
      <c r="P44" s="19" t="n">
        <f aca="false">INT((A44-DATE(2026,7,1))/7)+1</f>
        <v>1</v>
      </c>
    </row>
    <row r="45" customFormat="false" ht="15" hidden="false" customHeight="false" outlineLevel="0" collapsed="false">
      <c r="A45" s="25" t="n">
        <v>46208</v>
      </c>
      <c r="B45" s="26" t="s">
        <v>18</v>
      </c>
      <c r="C45" s="26" t="s">
        <v>73</v>
      </c>
      <c r="D45" s="26" t="n">
        <v>480</v>
      </c>
      <c r="E45" s="26" t="n">
        <v>8</v>
      </c>
      <c r="F45" s="26" t="n">
        <v>3353</v>
      </c>
      <c r="G45" s="26" t="n">
        <v>3258</v>
      </c>
      <c r="H45" s="19" t="n">
        <f aca="false">SUMIFS(Paradas!$E$2:$E$1973,Paradas!$A$2:$A$1973,A45,Paradas!$B$2:$B$1973,B45,Paradas!$C$2:$C$1973,C45)</f>
        <v>7</v>
      </c>
      <c r="I45" s="19" t="n">
        <f aca="false">D45-H45</f>
        <v>473</v>
      </c>
      <c r="J45" s="19" t="n">
        <f aca="false">I45*E45</f>
        <v>3784</v>
      </c>
      <c r="K45" s="16" t="n">
        <f aca="false">IF(D45=0,0,I45/D45)</f>
        <v>0.985416666666667</v>
      </c>
      <c r="L45" s="16" t="n">
        <f aca="false">IF(J45=0,0,F45/J45)</f>
        <v>0.886099365750529</v>
      </c>
      <c r="M45" s="16" t="n">
        <f aca="false">IF(F45=0,0,G45/F45)</f>
        <v>0.97166716373397</v>
      </c>
      <c r="N45" s="16" t="n">
        <f aca="false">K45*L45*M45</f>
        <v>0.8484375</v>
      </c>
      <c r="O45" s="19" t="n">
        <f aca="false">MONTH(A45)</f>
        <v>7</v>
      </c>
      <c r="P45" s="19" t="n">
        <f aca="false">INT((A45-DATE(2026,7,1))/7)+1</f>
        <v>1</v>
      </c>
    </row>
    <row r="46" customFormat="false" ht="15" hidden="false" customHeight="false" outlineLevel="0" collapsed="false">
      <c r="A46" s="25" t="n">
        <v>46208</v>
      </c>
      <c r="B46" s="26" t="s">
        <v>18</v>
      </c>
      <c r="C46" s="26" t="s">
        <v>74</v>
      </c>
      <c r="D46" s="26" t="n">
        <v>480</v>
      </c>
      <c r="E46" s="26" t="n">
        <v>8</v>
      </c>
      <c r="F46" s="26" t="n">
        <v>2380</v>
      </c>
      <c r="G46" s="26" t="n">
        <v>2295</v>
      </c>
      <c r="H46" s="19" t="n">
        <f aca="false">SUMIFS(Paradas!$E$2:$E$1973,Paradas!$A$2:$A$1973,A46,Paradas!$B$2:$B$1973,B46,Paradas!$C$2:$C$1973,C46)</f>
        <v>128</v>
      </c>
      <c r="I46" s="19" t="n">
        <f aca="false">D46-H46</f>
        <v>352</v>
      </c>
      <c r="J46" s="19" t="n">
        <f aca="false">I46*E46</f>
        <v>2816</v>
      </c>
      <c r="K46" s="16" t="n">
        <f aca="false">IF(D46=0,0,I46/D46)</f>
        <v>0.733333333333333</v>
      </c>
      <c r="L46" s="16" t="n">
        <f aca="false">IF(J46=0,0,F46/J46)</f>
        <v>0.845170454545455</v>
      </c>
      <c r="M46" s="16" t="n">
        <f aca="false">IF(F46=0,0,G46/F46)</f>
        <v>0.964285714285714</v>
      </c>
      <c r="N46" s="16" t="n">
        <f aca="false">K46*L46*M46</f>
        <v>0.59765625</v>
      </c>
      <c r="O46" s="19" t="n">
        <f aca="false">MONTH(A46)</f>
        <v>7</v>
      </c>
      <c r="P46" s="19" t="n">
        <f aca="false">INT((A46-DATE(2026,7,1))/7)+1</f>
        <v>1</v>
      </c>
    </row>
    <row r="47" customFormat="false" ht="15" hidden="false" customHeight="false" outlineLevel="0" collapsed="false">
      <c r="A47" s="25" t="n">
        <v>46209</v>
      </c>
      <c r="B47" s="26" t="s">
        <v>16</v>
      </c>
      <c r="C47" s="26" t="s">
        <v>72</v>
      </c>
      <c r="D47" s="26" t="n">
        <v>480</v>
      </c>
      <c r="E47" s="26" t="n">
        <v>12</v>
      </c>
      <c r="F47" s="26" t="n">
        <v>4725</v>
      </c>
      <c r="G47" s="26" t="n">
        <v>4650</v>
      </c>
      <c r="H47" s="19" t="n">
        <f aca="false">SUMIFS(Paradas!$E$2:$E$1973,Paradas!$A$2:$A$1973,A47,Paradas!$B$2:$B$1973,B47,Paradas!$C$2:$C$1973,C47)</f>
        <v>24</v>
      </c>
      <c r="I47" s="19" t="n">
        <f aca="false">D47-H47</f>
        <v>456</v>
      </c>
      <c r="J47" s="19" t="n">
        <f aca="false">I47*E47</f>
        <v>5472</v>
      </c>
      <c r="K47" s="16" t="n">
        <f aca="false">IF(D47=0,0,I47/D47)</f>
        <v>0.95</v>
      </c>
      <c r="L47" s="16" t="n">
        <f aca="false">IF(J47=0,0,F47/J47)</f>
        <v>0.863486842105263</v>
      </c>
      <c r="M47" s="16" t="n">
        <f aca="false">IF(F47=0,0,G47/F47)</f>
        <v>0.984126984126984</v>
      </c>
      <c r="N47" s="16" t="n">
        <f aca="false">K47*L47*M47</f>
        <v>0.807291666666667</v>
      </c>
      <c r="O47" s="19" t="n">
        <f aca="false">MONTH(A47)</f>
        <v>7</v>
      </c>
      <c r="P47" s="19" t="n">
        <f aca="false">INT((A47-DATE(2026,7,1))/7)+1</f>
        <v>1</v>
      </c>
    </row>
    <row r="48" customFormat="false" ht="15" hidden="false" customHeight="false" outlineLevel="0" collapsed="false">
      <c r="A48" s="25" t="n">
        <v>46209</v>
      </c>
      <c r="B48" s="26" t="s">
        <v>16</v>
      </c>
      <c r="C48" s="26" t="s">
        <v>73</v>
      </c>
      <c r="D48" s="26" t="n">
        <v>480</v>
      </c>
      <c r="E48" s="26" t="n">
        <v>12</v>
      </c>
      <c r="F48" s="26" t="n">
        <v>4764</v>
      </c>
      <c r="G48" s="26" t="n">
        <v>4648</v>
      </c>
      <c r="H48" s="19" t="n">
        <f aca="false">SUMIFS(Paradas!$E$2:$E$1973,Paradas!$A$2:$A$1973,A48,Paradas!$B$2:$B$1973,B48,Paradas!$C$2:$C$1973,C48)</f>
        <v>22</v>
      </c>
      <c r="I48" s="19" t="n">
        <f aca="false">D48-H48</f>
        <v>458</v>
      </c>
      <c r="J48" s="19" t="n">
        <f aca="false">I48*E48</f>
        <v>5496</v>
      </c>
      <c r="K48" s="16" t="n">
        <f aca="false">IF(D48=0,0,I48/D48)</f>
        <v>0.954166666666667</v>
      </c>
      <c r="L48" s="16" t="n">
        <f aca="false">IF(J48=0,0,F48/J48)</f>
        <v>0.866812227074236</v>
      </c>
      <c r="M48" s="16" t="n">
        <f aca="false">IF(F48=0,0,G48/F48)</f>
        <v>0.975650713685978</v>
      </c>
      <c r="N48" s="16" t="n">
        <f aca="false">K48*L48*M48</f>
        <v>0.806944444444445</v>
      </c>
      <c r="O48" s="19" t="n">
        <f aca="false">MONTH(A48)</f>
        <v>7</v>
      </c>
      <c r="P48" s="19" t="n">
        <f aca="false">INT((A48-DATE(2026,7,1))/7)+1</f>
        <v>1</v>
      </c>
    </row>
    <row r="49" customFormat="false" ht="15" hidden="false" customHeight="false" outlineLevel="0" collapsed="false">
      <c r="A49" s="25" t="n">
        <v>46209</v>
      </c>
      <c r="B49" s="26" t="s">
        <v>16</v>
      </c>
      <c r="C49" s="26" t="s">
        <v>74</v>
      </c>
      <c r="D49" s="26" t="n">
        <v>480</v>
      </c>
      <c r="E49" s="26" t="n">
        <v>12</v>
      </c>
      <c r="F49" s="26" t="n">
        <v>4034</v>
      </c>
      <c r="G49" s="26" t="n">
        <v>3939</v>
      </c>
      <c r="H49" s="19" t="n">
        <f aca="false">SUMIFS(Paradas!$E$2:$E$1973,Paradas!$A$2:$A$1973,A49,Paradas!$B$2:$B$1973,B49,Paradas!$C$2:$C$1973,C49)</f>
        <v>87</v>
      </c>
      <c r="I49" s="19" t="n">
        <f aca="false">D49-H49</f>
        <v>393</v>
      </c>
      <c r="J49" s="19" t="n">
        <f aca="false">I49*E49</f>
        <v>4716</v>
      </c>
      <c r="K49" s="16" t="n">
        <f aca="false">IF(D49=0,0,I49/D49)</f>
        <v>0.81875</v>
      </c>
      <c r="L49" s="16" t="n">
        <f aca="false">IF(J49=0,0,F49/J49)</f>
        <v>0.855385920271417</v>
      </c>
      <c r="M49" s="16" t="n">
        <f aca="false">IF(F49=0,0,G49/F49)</f>
        <v>0.976450173525037</v>
      </c>
      <c r="N49" s="16" t="n">
        <f aca="false">K49*L49*M49</f>
        <v>0.683854166666667</v>
      </c>
      <c r="O49" s="19" t="n">
        <f aca="false">MONTH(A49)</f>
        <v>7</v>
      </c>
      <c r="P49" s="19" t="n">
        <f aca="false">INT((A49-DATE(2026,7,1))/7)+1</f>
        <v>1</v>
      </c>
    </row>
    <row r="50" customFormat="false" ht="15" hidden="false" customHeight="false" outlineLevel="0" collapsed="false">
      <c r="A50" s="25" t="n">
        <v>46209</v>
      </c>
      <c r="B50" s="26" t="s">
        <v>17</v>
      </c>
      <c r="C50" s="26" t="s">
        <v>72</v>
      </c>
      <c r="D50" s="26" t="n">
        <v>480</v>
      </c>
      <c r="E50" s="26" t="n">
        <v>10</v>
      </c>
      <c r="F50" s="26" t="n">
        <v>4139</v>
      </c>
      <c r="G50" s="26" t="n">
        <v>3957</v>
      </c>
      <c r="H50" s="19" t="n">
        <f aca="false">SUMIFS(Paradas!$E$2:$E$1973,Paradas!$A$2:$A$1973,A50,Paradas!$B$2:$B$1973,B50,Paradas!$C$2:$C$1973,C50)</f>
        <v>10</v>
      </c>
      <c r="I50" s="19" t="n">
        <f aca="false">D50-H50</f>
        <v>470</v>
      </c>
      <c r="J50" s="19" t="n">
        <f aca="false">I50*E50</f>
        <v>4700</v>
      </c>
      <c r="K50" s="16" t="n">
        <f aca="false">IF(D50=0,0,I50/D50)</f>
        <v>0.979166666666667</v>
      </c>
      <c r="L50" s="16" t="n">
        <f aca="false">IF(J50=0,0,F50/J50)</f>
        <v>0.88063829787234</v>
      </c>
      <c r="M50" s="16" t="n">
        <f aca="false">IF(F50=0,0,G50/F50)</f>
        <v>0.956028026093259</v>
      </c>
      <c r="N50" s="16" t="n">
        <f aca="false">K50*L50*M50</f>
        <v>0.824375</v>
      </c>
      <c r="O50" s="19" t="n">
        <f aca="false">MONTH(A50)</f>
        <v>7</v>
      </c>
      <c r="P50" s="19" t="n">
        <f aca="false">INT((A50-DATE(2026,7,1))/7)+1</f>
        <v>1</v>
      </c>
    </row>
    <row r="51" customFormat="false" ht="15" hidden="false" customHeight="false" outlineLevel="0" collapsed="false">
      <c r="A51" s="25" t="n">
        <v>46209</v>
      </c>
      <c r="B51" s="26" t="s">
        <v>17</v>
      </c>
      <c r="C51" s="26" t="s">
        <v>73</v>
      </c>
      <c r="D51" s="26" t="n">
        <v>480</v>
      </c>
      <c r="E51" s="26" t="n">
        <v>10</v>
      </c>
      <c r="F51" s="26" t="n">
        <v>4010</v>
      </c>
      <c r="G51" s="26" t="n">
        <v>3812</v>
      </c>
      <c r="H51" s="19" t="n">
        <f aca="false">SUMIFS(Paradas!$E$2:$E$1973,Paradas!$A$2:$A$1973,A51,Paradas!$B$2:$B$1973,B51,Paradas!$C$2:$C$1973,C51)</f>
        <v>32</v>
      </c>
      <c r="I51" s="19" t="n">
        <f aca="false">D51-H51</f>
        <v>448</v>
      </c>
      <c r="J51" s="19" t="n">
        <f aca="false">I51*E51</f>
        <v>4480</v>
      </c>
      <c r="K51" s="16" t="n">
        <f aca="false">IF(D51=0,0,I51/D51)</f>
        <v>0.933333333333333</v>
      </c>
      <c r="L51" s="16" t="n">
        <f aca="false">IF(J51=0,0,F51/J51)</f>
        <v>0.895089285714286</v>
      </c>
      <c r="M51" s="16" t="n">
        <f aca="false">IF(F51=0,0,G51/F51)</f>
        <v>0.950623441396509</v>
      </c>
      <c r="N51" s="16" t="n">
        <f aca="false">K51*L51*M51</f>
        <v>0.794166666666667</v>
      </c>
      <c r="O51" s="19" t="n">
        <f aca="false">MONTH(A51)</f>
        <v>7</v>
      </c>
      <c r="P51" s="19" t="n">
        <f aca="false">INT((A51-DATE(2026,7,1))/7)+1</f>
        <v>1</v>
      </c>
    </row>
    <row r="52" customFormat="false" ht="15" hidden="false" customHeight="false" outlineLevel="0" collapsed="false">
      <c r="A52" s="25" t="n">
        <v>46209</v>
      </c>
      <c r="B52" s="26" t="s">
        <v>17</v>
      </c>
      <c r="C52" s="26" t="s">
        <v>74</v>
      </c>
      <c r="D52" s="26" t="n">
        <v>480</v>
      </c>
      <c r="E52" s="26" t="n">
        <v>10</v>
      </c>
      <c r="F52" s="26" t="n">
        <v>3574</v>
      </c>
      <c r="G52" s="26" t="n">
        <v>3436</v>
      </c>
      <c r="H52" s="19" t="n">
        <f aca="false">SUMIFS(Paradas!$E$2:$E$1973,Paradas!$A$2:$A$1973,A52,Paradas!$B$2:$B$1973,B52,Paradas!$C$2:$C$1973,C52)</f>
        <v>55</v>
      </c>
      <c r="I52" s="19" t="n">
        <f aca="false">D52-H52</f>
        <v>425</v>
      </c>
      <c r="J52" s="19" t="n">
        <f aca="false">I52*E52</f>
        <v>4250</v>
      </c>
      <c r="K52" s="16" t="n">
        <f aca="false">IF(D52=0,0,I52/D52)</f>
        <v>0.885416666666667</v>
      </c>
      <c r="L52" s="16" t="n">
        <f aca="false">IF(J52=0,0,F52/J52)</f>
        <v>0.840941176470588</v>
      </c>
      <c r="M52" s="16" t="n">
        <f aca="false">IF(F52=0,0,G52/F52)</f>
        <v>0.961387800783436</v>
      </c>
      <c r="N52" s="16" t="n">
        <f aca="false">K52*L52*M52</f>
        <v>0.715833333333333</v>
      </c>
      <c r="O52" s="19" t="n">
        <f aca="false">MONTH(A52)</f>
        <v>7</v>
      </c>
      <c r="P52" s="19" t="n">
        <f aca="false">INT((A52-DATE(2026,7,1))/7)+1</f>
        <v>1</v>
      </c>
    </row>
    <row r="53" customFormat="false" ht="15" hidden="false" customHeight="false" outlineLevel="0" collapsed="false">
      <c r="A53" s="25" t="n">
        <v>46209</v>
      </c>
      <c r="B53" s="26" t="s">
        <v>18</v>
      </c>
      <c r="C53" s="26" t="s">
        <v>72</v>
      </c>
      <c r="D53" s="26" t="n">
        <v>480</v>
      </c>
      <c r="E53" s="26" t="n">
        <v>8</v>
      </c>
      <c r="F53" s="26" t="n">
        <v>3484</v>
      </c>
      <c r="G53" s="26" t="n">
        <v>3334</v>
      </c>
      <c r="H53" s="19" t="n">
        <f aca="false">SUMIFS(Paradas!$E$2:$E$1973,Paradas!$A$2:$A$1973,A53,Paradas!$B$2:$B$1973,B53,Paradas!$C$2:$C$1973,C53)</f>
        <v>0</v>
      </c>
      <c r="I53" s="19" t="n">
        <f aca="false">D53-H53</f>
        <v>480</v>
      </c>
      <c r="J53" s="19" t="n">
        <f aca="false">I53*E53</f>
        <v>3840</v>
      </c>
      <c r="K53" s="16" t="n">
        <f aca="false">IF(D53=0,0,I53/D53)</f>
        <v>1</v>
      </c>
      <c r="L53" s="16" t="n">
        <f aca="false">IF(J53=0,0,F53/J53)</f>
        <v>0.907291666666667</v>
      </c>
      <c r="M53" s="16" t="n">
        <f aca="false">IF(F53=0,0,G53/F53)</f>
        <v>0.956946039035591</v>
      </c>
      <c r="N53" s="16" t="n">
        <f aca="false">K53*L53*M53</f>
        <v>0.868229166666667</v>
      </c>
      <c r="O53" s="19" t="n">
        <f aca="false">MONTH(A53)</f>
        <v>7</v>
      </c>
      <c r="P53" s="19" t="n">
        <f aca="false">INT((A53-DATE(2026,7,1))/7)+1</f>
        <v>1</v>
      </c>
    </row>
    <row r="54" customFormat="false" ht="15" hidden="false" customHeight="false" outlineLevel="0" collapsed="false">
      <c r="A54" s="25" t="n">
        <v>46209</v>
      </c>
      <c r="B54" s="26" t="s">
        <v>18</v>
      </c>
      <c r="C54" s="26" t="s">
        <v>73</v>
      </c>
      <c r="D54" s="26" t="n">
        <v>480</v>
      </c>
      <c r="E54" s="26" t="n">
        <v>8</v>
      </c>
      <c r="F54" s="26" t="n">
        <v>2711</v>
      </c>
      <c r="G54" s="26" t="n">
        <v>2642</v>
      </c>
      <c r="H54" s="19" t="n">
        <f aca="false">SUMIFS(Paradas!$E$2:$E$1973,Paradas!$A$2:$A$1973,A54,Paradas!$B$2:$B$1973,B54,Paradas!$C$2:$C$1973,C54)</f>
        <v>98</v>
      </c>
      <c r="I54" s="19" t="n">
        <f aca="false">D54-H54</f>
        <v>382</v>
      </c>
      <c r="J54" s="19" t="n">
        <f aca="false">I54*E54</f>
        <v>3056</v>
      </c>
      <c r="K54" s="16" t="n">
        <f aca="false">IF(D54=0,0,I54/D54)</f>
        <v>0.795833333333333</v>
      </c>
      <c r="L54" s="16" t="n">
        <f aca="false">IF(J54=0,0,F54/J54)</f>
        <v>0.887107329842932</v>
      </c>
      <c r="M54" s="16" t="n">
        <f aca="false">IF(F54=0,0,G54/F54)</f>
        <v>0.974548137218739</v>
      </c>
      <c r="N54" s="16" t="n">
        <f aca="false">K54*L54*M54</f>
        <v>0.688020833333333</v>
      </c>
      <c r="O54" s="19" t="n">
        <f aca="false">MONTH(A54)</f>
        <v>7</v>
      </c>
      <c r="P54" s="19" t="n">
        <f aca="false">INT((A54-DATE(2026,7,1))/7)+1</f>
        <v>1</v>
      </c>
    </row>
    <row r="55" customFormat="false" ht="15" hidden="false" customHeight="false" outlineLevel="0" collapsed="false">
      <c r="A55" s="25" t="n">
        <v>46209</v>
      </c>
      <c r="B55" s="26" t="s">
        <v>18</v>
      </c>
      <c r="C55" s="26" t="s">
        <v>74</v>
      </c>
      <c r="D55" s="26" t="n">
        <v>480</v>
      </c>
      <c r="E55" s="26" t="n">
        <v>8</v>
      </c>
      <c r="F55" s="26" t="n">
        <v>2568</v>
      </c>
      <c r="G55" s="26" t="n">
        <v>2495</v>
      </c>
      <c r="H55" s="19" t="n">
        <f aca="false">SUMIFS(Paradas!$E$2:$E$1973,Paradas!$A$2:$A$1973,A55,Paradas!$B$2:$B$1973,B55,Paradas!$C$2:$C$1973,C55)</f>
        <v>90</v>
      </c>
      <c r="I55" s="19" t="n">
        <f aca="false">D55-H55</f>
        <v>390</v>
      </c>
      <c r="J55" s="19" t="n">
        <f aca="false">I55*E55</f>
        <v>3120</v>
      </c>
      <c r="K55" s="16" t="n">
        <f aca="false">IF(D55=0,0,I55/D55)</f>
        <v>0.8125</v>
      </c>
      <c r="L55" s="16" t="n">
        <f aca="false">IF(J55=0,0,F55/J55)</f>
        <v>0.823076923076923</v>
      </c>
      <c r="M55" s="16" t="n">
        <f aca="false">IF(F55=0,0,G55/F55)</f>
        <v>0.971573208722741</v>
      </c>
      <c r="N55" s="16" t="n">
        <f aca="false">K55*L55*M55</f>
        <v>0.649739583333333</v>
      </c>
      <c r="O55" s="19" t="n">
        <f aca="false">MONTH(A55)</f>
        <v>7</v>
      </c>
      <c r="P55" s="19" t="n">
        <f aca="false">INT((A55-DATE(2026,7,1))/7)+1</f>
        <v>1</v>
      </c>
    </row>
    <row r="56" customFormat="false" ht="15" hidden="false" customHeight="false" outlineLevel="0" collapsed="false">
      <c r="A56" s="25" t="n">
        <v>46210</v>
      </c>
      <c r="B56" s="26" t="s">
        <v>16</v>
      </c>
      <c r="C56" s="26" t="s">
        <v>72</v>
      </c>
      <c r="D56" s="26" t="n">
        <v>480</v>
      </c>
      <c r="E56" s="26" t="n">
        <v>12</v>
      </c>
      <c r="F56" s="26" t="n">
        <v>4556</v>
      </c>
      <c r="G56" s="26" t="n">
        <v>4472</v>
      </c>
      <c r="H56" s="19" t="n">
        <f aca="false">SUMIFS(Paradas!$E$2:$E$1973,Paradas!$A$2:$A$1973,A56,Paradas!$B$2:$B$1973,B56,Paradas!$C$2:$C$1973,C56)</f>
        <v>53</v>
      </c>
      <c r="I56" s="19" t="n">
        <f aca="false">D56-H56</f>
        <v>427</v>
      </c>
      <c r="J56" s="19" t="n">
        <f aca="false">I56*E56</f>
        <v>5124</v>
      </c>
      <c r="K56" s="16" t="n">
        <f aca="false">IF(D56=0,0,I56/D56)</f>
        <v>0.889583333333333</v>
      </c>
      <c r="L56" s="16" t="n">
        <f aca="false">IF(J56=0,0,F56/J56)</f>
        <v>0.889149102263856</v>
      </c>
      <c r="M56" s="16" t="n">
        <f aca="false">IF(F56=0,0,G56/F56)</f>
        <v>0.981562774363477</v>
      </c>
      <c r="N56" s="16" t="n">
        <f aca="false">K56*L56*M56</f>
        <v>0.776388888888889</v>
      </c>
      <c r="O56" s="19" t="n">
        <f aca="false">MONTH(A56)</f>
        <v>7</v>
      </c>
      <c r="P56" s="19" t="n">
        <f aca="false">INT((A56-DATE(2026,7,1))/7)+1</f>
        <v>1</v>
      </c>
    </row>
    <row r="57" customFormat="false" ht="15" hidden="false" customHeight="false" outlineLevel="0" collapsed="false">
      <c r="A57" s="25" t="n">
        <v>46210</v>
      </c>
      <c r="B57" s="26" t="s">
        <v>16</v>
      </c>
      <c r="C57" s="26" t="s">
        <v>73</v>
      </c>
      <c r="D57" s="26" t="n">
        <v>480</v>
      </c>
      <c r="E57" s="26" t="n">
        <v>12</v>
      </c>
      <c r="F57" s="26" t="n">
        <v>4615</v>
      </c>
      <c r="G57" s="26" t="n">
        <v>4555</v>
      </c>
      <c r="H57" s="19" t="n">
        <f aca="false">SUMIFS(Paradas!$E$2:$E$1973,Paradas!$A$2:$A$1973,A57,Paradas!$B$2:$B$1973,B57,Paradas!$C$2:$C$1973,C57)</f>
        <v>47</v>
      </c>
      <c r="I57" s="19" t="n">
        <f aca="false">D57-H57</f>
        <v>433</v>
      </c>
      <c r="J57" s="19" t="n">
        <f aca="false">I57*E57</f>
        <v>5196</v>
      </c>
      <c r="K57" s="16" t="n">
        <f aca="false">IF(D57=0,0,I57/D57)</f>
        <v>0.902083333333333</v>
      </c>
      <c r="L57" s="16" t="n">
        <f aca="false">IF(J57=0,0,F57/J57)</f>
        <v>0.888183217859892</v>
      </c>
      <c r="M57" s="16" t="n">
        <f aca="false">IF(F57=0,0,G57/F57)</f>
        <v>0.986998916576381</v>
      </c>
      <c r="N57" s="16" t="n">
        <f aca="false">K57*L57*M57</f>
        <v>0.790798611111111</v>
      </c>
      <c r="O57" s="19" t="n">
        <f aca="false">MONTH(A57)</f>
        <v>7</v>
      </c>
      <c r="P57" s="19" t="n">
        <f aca="false">INT((A57-DATE(2026,7,1))/7)+1</f>
        <v>1</v>
      </c>
    </row>
    <row r="58" customFormat="false" ht="15" hidden="false" customHeight="false" outlineLevel="0" collapsed="false">
      <c r="A58" s="25" t="n">
        <v>46210</v>
      </c>
      <c r="B58" s="26" t="s">
        <v>16</v>
      </c>
      <c r="C58" s="26" t="s">
        <v>74</v>
      </c>
      <c r="D58" s="26" t="n">
        <v>480</v>
      </c>
      <c r="E58" s="26" t="n">
        <v>12</v>
      </c>
      <c r="F58" s="26" t="n">
        <v>4310</v>
      </c>
      <c r="G58" s="26" t="n">
        <v>4288</v>
      </c>
      <c r="H58" s="19" t="n">
        <f aca="false">SUMIFS(Paradas!$E$2:$E$1973,Paradas!$A$2:$A$1973,A58,Paradas!$B$2:$B$1973,B58,Paradas!$C$2:$C$1973,C58)</f>
        <v>69</v>
      </c>
      <c r="I58" s="19" t="n">
        <f aca="false">D58-H58</f>
        <v>411</v>
      </c>
      <c r="J58" s="19" t="n">
        <f aca="false">I58*E58</f>
        <v>4932</v>
      </c>
      <c r="K58" s="16" t="n">
        <f aca="false">IF(D58=0,0,I58/D58)</f>
        <v>0.85625</v>
      </c>
      <c r="L58" s="16" t="n">
        <f aca="false">IF(J58=0,0,F58/J58)</f>
        <v>0.873884833738848</v>
      </c>
      <c r="M58" s="16" t="n">
        <f aca="false">IF(F58=0,0,G58/F58)</f>
        <v>0.994895591647332</v>
      </c>
      <c r="N58" s="16" t="n">
        <f aca="false">K58*L58*M58</f>
        <v>0.744444444444444</v>
      </c>
      <c r="O58" s="19" t="n">
        <f aca="false">MONTH(A58)</f>
        <v>7</v>
      </c>
      <c r="P58" s="19" t="n">
        <f aca="false">INT((A58-DATE(2026,7,1))/7)+1</f>
        <v>1</v>
      </c>
    </row>
    <row r="59" customFormat="false" ht="15" hidden="false" customHeight="false" outlineLevel="0" collapsed="false">
      <c r="A59" s="25" t="n">
        <v>46210</v>
      </c>
      <c r="B59" s="26" t="s">
        <v>17</v>
      </c>
      <c r="C59" s="26" t="s">
        <v>72</v>
      </c>
      <c r="D59" s="26" t="n">
        <v>480</v>
      </c>
      <c r="E59" s="26" t="n">
        <v>10</v>
      </c>
      <c r="F59" s="26" t="n">
        <v>3991</v>
      </c>
      <c r="G59" s="26" t="n">
        <v>3810</v>
      </c>
      <c r="H59" s="19" t="n">
        <f aca="false">SUMIFS(Paradas!$E$2:$E$1973,Paradas!$A$2:$A$1973,A59,Paradas!$B$2:$B$1973,B59,Paradas!$C$2:$C$1973,C59)</f>
        <v>27</v>
      </c>
      <c r="I59" s="19" t="n">
        <f aca="false">D59-H59</f>
        <v>453</v>
      </c>
      <c r="J59" s="19" t="n">
        <f aca="false">I59*E59</f>
        <v>4530</v>
      </c>
      <c r="K59" s="16" t="n">
        <f aca="false">IF(D59=0,0,I59/D59)</f>
        <v>0.94375</v>
      </c>
      <c r="L59" s="16" t="n">
        <f aca="false">IF(J59=0,0,F59/J59)</f>
        <v>0.881015452538631</v>
      </c>
      <c r="M59" s="16" t="n">
        <f aca="false">IF(F59=0,0,G59/F59)</f>
        <v>0.954647957905287</v>
      </c>
      <c r="N59" s="16" t="n">
        <f aca="false">K59*L59*M59</f>
        <v>0.79375</v>
      </c>
      <c r="O59" s="19" t="n">
        <f aca="false">MONTH(A59)</f>
        <v>7</v>
      </c>
      <c r="P59" s="19" t="n">
        <f aca="false">INT((A59-DATE(2026,7,1))/7)+1</f>
        <v>1</v>
      </c>
    </row>
    <row r="60" customFormat="false" ht="15" hidden="false" customHeight="false" outlineLevel="0" collapsed="false">
      <c r="A60" s="25" t="n">
        <v>46210</v>
      </c>
      <c r="B60" s="26" t="s">
        <v>17</v>
      </c>
      <c r="C60" s="26" t="s">
        <v>73</v>
      </c>
      <c r="D60" s="26" t="n">
        <v>480</v>
      </c>
      <c r="E60" s="26" t="n">
        <v>10</v>
      </c>
      <c r="F60" s="26" t="n">
        <v>2499</v>
      </c>
      <c r="G60" s="26" t="n">
        <v>2348</v>
      </c>
      <c r="H60" s="19" t="n">
        <f aca="false">SUMIFS(Paradas!$E$2:$E$1973,Paradas!$A$2:$A$1973,A60,Paradas!$B$2:$B$1973,B60,Paradas!$C$2:$C$1973,C60)</f>
        <v>195</v>
      </c>
      <c r="I60" s="19" t="n">
        <f aca="false">D60-H60</f>
        <v>285</v>
      </c>
      <c r="J60" s="19" t="n">
        <f aca="false">I60*E60</f>
        <v>2850</v>
      </c>
      <c r="K60" s="16" t="n">
        <f aca="false">IF(D60=0,0,I60/D60)</f>
        <v>0.59375</v>
      </c>
      <c r="L60" s="16" t="n">
        <f aca="false">IF(J60=0,0,F60/J60)</f>
        <v>0.876842105263158</v>
      </c>
      <c r="M60" s="16" t="n">
        <f aca="false">IF(F60=0,0,G60/F60)</f>
        <v>0.939575830332133</v>
      </c>
      <c r="N60" s="16" t="n">
        <f aca="false">K60*L60*M60</f>
        <v>0.489166666666667</v>
      </c>
      <c r="O60" s="19" t="n">
        <f aca="false">MONTH(A60)</f>
        <v>7</v>
      </c>
      <c r="P60" s="19" t="n">
        <f aca="false">INT((A60-DATE(2026,7,1))/7)+1</f>
        <v>1</v>
      </c>
    </row>
    <row r="61" customFormat="false" ht="15" hidden="false" customHeight="false" outlineLevel="0" collapsed="false">
      <c r="A61" s="25" t="n">
        <v>46210</v>
      </c>
      <c r="B61" s="26" t="s">
        <v>17</v>
      </c>
      <c r="C61" s="26" t="s">
        <v>74</v>
      </c>
      <c r="D61" s="26" t="n">
        <v>480</v>
      </c>
      <c r="E61" s="26" t="n">
        <v>10</v>
      </c>
      <c r="F61" s="26" t="n">
        <v>2945</v>
      </c>
      <c r="G61" s="26" t="n">
        <v>2787</v>
      </c>
      <c r="H61" s="19" t="n">
        <f aca="false">SUMIFS(Paradas!$E$2:$E$1973,Paradas!$A$2:$A$1973,A61,Paradas!$B$2:$B$1973,B61,Paradas!$C$2:$C$1973,C61)</f>
        <v>120</v>
      </c>
      <c r="I61" s="19" t="n">
        <f aca="false">D61-H61</f>
        <v>360</v>
      </c>
      <c r="J61" s="19" t="n">
        <f aca="false">I61*E61</f>
        <v>3600</v>
      </c>
      <c r="K61" s="16" t="n">
        <f aca="false">IF(D61=0,0,I61/D61)</f>
        <v>0.75</v>
      </c>
      <c r="L61" s="16" t="n">
        <f aca="false">IF(J61=0,0,F61/J61)</f>
        <v>0.818055555555556</v>
      </c>
      <c r="M61" s="16" t="n">
        <f aca="false">IF(F61=0,0,G61/F61)</f>
        <v>0.94634974533107</v>
      </c>
      <c r="N61" s="16" t="n">
        <f aca="false">K61*L61*M61</f>
        <v>0.580625</v>
      </c>
      <c r="O61" s="19" t="n">
        <f aca="false">MONTH(A61)</f>
        <v>7</v>
      </c>
      <c r="P61" s="19" t="n">
        <f aca="false">INT((A61-DATE(2026,7,1))/7)+1</f>
        <v>1</v>
      </c>
    </row>
    <row r="62" customFormat="false" ht="15" hidden="false" customHeight="false" outlineLevel="0" collapsed="false">
      <c r="A62" s="25" t="n">
        <v>46210</v>
      </c>
      <c r="B62" s="26" t="s">
        <v>18</v>
      </c>
      <c r="C62" s="26" t="s">
        <v>72</v>
      </c>
      <c r="D62" s="26" t="n">
        <v>480</v>
      </c>
      <c r="E62" s="26" t="n">
        <v>8</v>
      </c>
      <c r="F62" s="26" t="n">
        <v>2699</v>
      </c>
      <c r="G62" s="26" t="n">
        <v>2684</v>
      </c>
      <c r="H62" s="19" t="n">
        <f aca="false">SUMIFS(Paradas!$E$2:$E$1973,Paradas!$A$2:$A$1973,A62,Paradas!$B$2:$B$1973,B62,Paradas!$C$2:$C$1973,C62)</f>
        <v>122</v>
      </c>
      <c r="I62" s="19" t="n">
        <f aca="false">D62-H62</f>
        <v>358</v>
      </c>
      <c r="J62" s="19" t="n">
        <f aca="false">I62*E62</f>
        <v>2864</v>
      </c>
      <c r="K62" s="16" t="n">
        <f aca="false">IF(D62=0,0,I62/D62)</f>
        <v>0.745833333333333</v>
      </c>
      <c r="L62" s="16" t="n">
        <f aca="false">IF(J62=0,0,F62/J62)</f>
        <v>0.942388268156425</v>
      </c>
      <c r="M62" s="16" t="n">
        <f aca="false">IF(F62=0,0,G62/F62)</f>
        <v>0.994442386068914</v>
      </c>
      <c r="N62" s="16" t="n">
        <f aca="false">K62*L62*M62</f>
        <v>0.698958333333333</v>
      </c>
      <c r="O62" s="19" t="n">
        <f aca="false">MONTH(A62)</f>
        <v>7</v>
      </c>
      <c r="P62" s="19" t="n">
        <f aca="false">INT((A62-DATE(2026,7,1))/7)+1</f>
        <v>1</v>
      </c>
    </row>
    <row r="63" customFormat="false" ht="15" hidden="false" customHeight="false" outlineLevel="0" collapsed="false">
      <c r="A63" s="25" t="n">
        <v>46210</v>
      </c>
      <c r="B63" s="26" t="s">
        <v>18</v>
      </c>
      <c r="C63" s="26" t="s">
        <v>73</v>
      </c>
      <c r="D63" s="26" t="n">
        <v>480</v>
      </c>
      <c r="E63" s="26" t="n">
        <v>8</v>
      </c>
      <c r="F63" s="26" t="n">
        <v>2601</v>
      </c>
      <c r="G63" s="26" t="n">
        <v>2503</v>
      </c>
      <c r="H63" s="19" t="n">
        <f aca="false">SUMIFS(Paradas!$E$2:$E$1973,Paradas!$A$2:$A$1973,A63,Paradas!$B$2:$B$1973,B63,Paradas!$C$2:$C$1973,C63)</f>
        <v>117</v>
      </c>
      <c r="I63" s="19" t="n">
        <f aca="false">D63-H63</f>
        <v>363</v>
      </c>
      <c r="J63" s="19" t="n">
        <f aca="false">I63*E63</f>
        <v>2904</v>
      </c>
      <c r="K63" s="16" t="n">
        <f aca="false">IF(D63=0,0,I63/D63)</f>
        <v>0.75625</v>
      </c>
      <c r="L63" s="16" t="n">
        <f aca="false">IF(J63=0,0,F63/J63)</f>
        <v>0.895661157024793</v>
      </c>
      <c r="M63" s="16" t="n">
        <f aca="false">IF(F63=0,0,G63/F63)</f>
        <v>0.962322183775471</v>
      </c>
      <c r="N63" s="16" t="n">
        <f aca="false">K63*L63*M63</f>
        <v>0.651822916666667</v>
      </c>
      <c r="O63" s="19" t="n">
        <f aca="false">MONTH(A63)</f>
        <v>7</v>
      </c>
      <c r="P63" s="19" t="n">
        <f aca="false">INT((A63-DATE(2026,7,1))/7)+1</f>
        <v>1</v>
      </c>
    </row>
    <row r="64" customFormat="false" ht="15" hidden="false" customHeight="false" outlineLevel="0" collapsed="false">
      <c r="A64" s="25" t="n">
        <v>46210</v>
      </c>
      <c r="B64" s="26" t="s">
        <v>18</v>
      </c>
      <c r="C64" s="26" t="s">
        <v>74</v>
      </c>
      <c r="D64" s="26" t="n">
        <v>480</v>
      </c>
      <c r="E64" s="26" t="n">
        <v>8</v>
      </c>
      <c r="F64" s="26" t="n">
        <v>2562</v>
      </c>
      <c r="G64" s="26" t="n">
        <v>2503</v>
      </c>
      <c r="H64" s="19" t="n">
        <f aca="false">SUMIFS(Paradas!$E$2:$E$1973,Paradas!$A$2:$A$1973,A64,Paradas!$B$2:$B$1973,B64,Paradas!$C$2:$C$1973,C64)</f>
        <v>98</v>
      </c>
      <c r="I64" s="19" t="n">
        <f aca="false">D64-H64</f>
        <v>382</v>
      </c>
      <c r="J64" s="19" t="n">
        <f aca="false">I64*E64</f>
        <v>3056</v>
      </c>
      <c r="K64" s="16" t="n">
        <f aca="false">IF(D64=0,0,I64/D64)</f>
        <v>0.795833333333333</v>
      </c>
      <c r="L64" s="16" t="n">
        <f aca="false">IF(J64=0,0,F64/J64)</f>
        <v>0.838350785340314</v>
      </c>
      <c r="M64" s="16" t="n">
        <f aca="false">IF(F64=0,0,G64/F64)</f>
        <v>0.976971116315379</v>
      </c>
      <c r="N64" s="16" t="n">
        <f aca="false">K64*L64*M64</f>
        <v>0.651822916666667</v>
      </c>
      <c r="O64" s="19" t="n">
        <f aca="false">MONTH(A64)</f>
        <v>7</v>
      </c>
      <c r="P64" s="19" t="n">
        <f aca="false">INT((A64-DATE(2026,7,1))/7)+1</f>
        <v>1</v>
      </c>
    </row>
    <row r="65" customFormat="false" ht="15" hidden="false" customHeight="false" outlineLevel="0" collapsed="false">
      <c r="A65" s="25" t="n">
        <v>46211</v>
      </c>
      <c r="B65" s="26" t="s">
        <v>16</v>
      </c>
      <c r="C65" s="26" t="s">
        <v>72</v>
      </c>
      <c r="D65" s="26" t="n">
        <v>480</v>
      </c>
      <c r="E65" s="26" t="n">
        <v>12</v>
      </c>
      <c r="F65" s="26" t="n">
        <v>4390</v>
      </c>
      <c r="G65" s="26" t="n">
        <v>4324</v>
      </c>
      <c r="H65" s="19" t="n">
        <f aca="false">SUMIFS(Paradas!$E$2:$E$1973,Paradas!$A$2:$A$1973,A65,Paradas!$B$2:$B$1973,B65,Paradas!$C$2:$C$1973,C65)</f>
        <v>70</v>
      </c>
      <c r="I65" s="19" t="n">
        <f aca="false">D65-H65</f>
        <v>410</v>
      </c>
      <c r="J65" s="19" t="n">
        <f aca="false">I65*E65</f>
        <v>4920</v>
      </c>
      <c r="K65" s="16" t="n">
        <f aca="false">IF(D65=0,0,I65/D65)</f>
        <v>0.854166666666667</v>
      </c>
      <c r="L65" s="16" t="n">
        <f aca="false">IF(J65=0,0,F65/J65)</f>
        <v>0.892276422764228</v>
      </c>
      <c r="M65" s="16" t="n">
        <f aca="false">IF(F65=0,0,G65/F65)</f>
        <v>0.98496583143508</v>
      </c>
      <c r="N65" s="16" t="n">
        <f aca="false">K65*L65*M65</f>
        <v>0.750694444444444</v>
      </c>
      <c r="O65" s="19" t="n">
        <f aca="false">MONTH(A65)</f>
        <v>7</v>
      </c>
      <c r="P65" s="19" t="n">
        <f aca="false">INT((A65-DATE(2026,7,1))/7)+1</f>
        <v>2</v>
      </c>
    </row>
    <row r="66" customFormat="false" ht="15" hidden="false" customHeight="false" outlineLevel="0" collapsed="false">
      <c r="A66" s="25" t="n">
        <v>46211</v>
      </c>
      <c r="B66" s="26" t="s">
        <v>16</v>
      </c>
      <c r="C66" s="26" t="s">
        <v>73</v>
      </c>
      <c r="D66" s="26" t="n">
        <v>480</v>
      </c>
      <c r="E66" s="26" t="n">
        <v>12</v>
      </c>
      <c r="F66" s="26" t="n">
        <v>4677</v>
      </c>
      <c r="G66" s="26" t="n">
        <v>4563</v>
      </c>
      <c r="H66" s="19" t="n">
        <f aca="false">SUMIFS(Paradas!$E$2:$E$1973,Paradas!$A$2:$A$1973,A66,Paradas!$B$2:$B$1973,B66,Paradas!$C$2:$C$1973,C66)</f>
        <v>79</v>
      </c>
      <c r="I66" s="19" t="n">
        <f aca="false">D66-H66</f>
        <v>401</v>
      </c>
      <c r="J66" s="19" t="n">
        <f aca="false">I66*E66</f>
        <v>4812</v>
      </c>
      <c r="K66" s="16" t="n">
        <f aca="false">IF(D66=0,0,I66/D66)</f>
        <v>0.835416666666667</v>
      </c>
      <c r="L66" s="16" t="n">
        <f aca="false">IF(J66=0,0,F66/J66)</f>
        <v>0.971945137157107</v>
      </c>
      <c r="M66" s="16" t="n">
        <f aca="false">IF(F66=0,0,G66/F66)</f>
        <v>0.975625400898012</v>
      </c>
      <c r="N66" s="16" t="n">
        <f aca="false">K66*L66*M66</f>
        <v>0.7921875</v>
      </c>
      <c r="O66" s="19" t="n">
        <f aca="false">MONTH(A66)</f>
        <v>7</v>
      </c>
      <c r="P66" s="19" t="n">
        <f aca="false">INT((A66-DATE(2026,7,1))/7)+1</f>
        <v>2</v>
      </c>
    </row>
    <row r="67" customFormat="false" ht="15" hidden="false" customHeight="false" outlineLevel="0" collapsed="false">
      <c r="A67" s="25" t="n">
        <v>46211</v>
      </c>
      <c r="B67" s="26" t="s">
        <v>16</v>
      </c>
      <c r="C67" s="26" t="s">
        <v>74</v>
      </c>
      <c r="D67" s="26" t="n">
        <v>480</v>
      </c>
      <c r="E67" s="26" t="n">
        <v>12</v>
      </c>
      <c r="F67" s="26" t="n">
        <v>4154</v>
      </c>
      <c r="G67" s="26" t="n">
        <v>4143</v>
      </c>
      <c r="H67" s="19" t="n">
        <f aca="false">SUMIFS(Paradas!$E$2:$E$1973,Paradas!$A$2:$A$1973,A67,Paradas!$B$2:$B$1973,B67,Paradas!$C$2:$C$1973,C67)</f>
        <v>64</v>
      </c>
      <c r="I67" s="19" t="n">
        <f aca="false">D67-H67</f>
        <v>416</v>
      </c>
      <c r="J67" s="19" t="n">
        <f aca="false">I67*E67</f>
        <v>4992</v>
      </c>
      <c r="K67" s="16" t="n">
        <f aca="false">IF(D67=0,0,I67/D67)</f>
        <v>0.866666666666667</v>
      </c>
      <c r="L67" s="16" t="n">
        <f aca="false">IF(J67=0,0,F67/J67)</f>
        <v>0.83213141025641</v>
      </c>
      <c r="M67" s="16" t="n">
        <f aca="false">IF(F67=0,0,G67/F67)</f>
        <v>0.99735194992778</v>
      </c>
      <c r="N67" s="16" t="n">
        <f aca="false">K67*L67*M67</f>
        <v>0.719270833333333</v>
      </c>
      <c r="O67" s="19" t="n">
        <f aca="false">MONTH(A67)</f>
        <v>7</v>
      </c>
      <c r="P67" s="19" t="n">
        <f aca="false">INT((A67-DATE(2026,7,1))/7)+1</f>
        <v>2</v>
      </c>
    </row>
    <row r="68" customFormat="false" ht="15" hidden="false" customHeight="false" outlineLevel="0" collapsed="false">
      <c r="A68" s="25" t="n">
        <v>46211</v>
      </c>
      <c r="B68" s="26" t="s">
        <v>17</v>
      </c>
      <c r="C68" s="26" t="s">
        <v>72</v>
      </c>
      <c r="D68" s="26" t="n">
        <v>480</v>
      </c>
      <c r="E68" s="26" t="n">
        <v>10</v>
      </c>
      <c r="F68" s="26" t="n">
        <v>2951</v>
      </c>
      <c r="G68" s="26" t="n">
        <v>2829</v>
      </c>
      <c r="H68" s="19" t="n">
        <f aca="false">SUMIFS(Paradas!$E$2:$E$1973,Paradas!$A$2:$A$1973,A68,Paradas!$B$2:$B$1973,B68,Paradas!$C$2:$C$1973,C68)</f>
        <v>129</v>
      </c>
      <c r="I68" s="19" t="n">
        <f aca="false">D68-H68</f>
        <v>351</v>
      </c>
      <c r="J68" s="19" t="n">
        <f aca="false">I68*E68</f>
        <v>3510</v>
      </c>
      <c r="K68" s="16" t="n">
        <f aca="false">IF(D68=0,0,I68/D68)</f>
        <v>0.73125</v>
      </c>
      <c r="L68" s="16" t="n">
        <f aca="false">IF(J68=0,0,F68/J68)</f>
        <v>0.840740740740741</v>
      </c>
      <c r="M68" s="16" t="n">
        <f aca="false">IF(F68=0,0,G68/F68)</f>
        <v>0.9586580820061</v>
      </c>
      <c r="N68" s="16" t="n">
        <f aca="false">K68*L68*M68</f>
        <v>0.589375</v>
      </c>
      <c r="O68" s="19" t="n">
        <f aca="false">MONTH(A68)</f>
        <v>7</v>
      </c>
      <c r="P68" s="19" t="n">
        <f aca="false">INT((A68-DATE(2026,7,1))/7)+1</f>
        <v>2</v>
      </c>
    </row>
    <row r="69" customFormat="false" ht="15" hidden="false" customHeight="false" outlineLevel="0" collapsed="false">
      <c r="A69" s="25" t="n">
        <v>46211</v>
      </c>
      <c r="B69" s="26" t="s">
        <v>17</v>
      </c>
      <c r="C69" s="26" t="s">
        <v>73</v>
      </c>
      <c r="D69" s="26" t="n">
        <v>480</v>
      </c>
      <c r="E69" s="26" t="n">
        <v>10</v>
      </c>
      <c r="F69" s="26" t="n">
        <v>3768</v>
      </c>
      <c r="G69" s="26" t="n">
        <v>3644</v>
      </c>
      <c r="H69" s="19" t="n">
        <f aca="false">SUMIFS(Paradas!$E$2:$E$1973,Paradas!$A$2:$A$1973,A69,Paradas!$B$2:$B$1973,B69,Paradas!$C$2:$C$1973,C69)</f>
        <v>20</v>
      </c>
      <c r="I69" s="19" t="n">
        <f aca="false">D69-H69</f>
        <v>460</v>
      </c>
      <c r="J69" s="19" t="n">
        <f aca="false">I69*E69</f>
        <v>4600</v>
      </c>
      <c r="K69" s="16" t="n">
        <f aca="false">IF(D69=0,0,I69/D69)</f>
        <v>0.958333333333333</v>
      </c>
      <c r="L69" s="16" t="n">
        <f aca="false">IF(J69=0,0,F69/J69)</f>
        <v>0.819130434782609</v>
      </c>
      <c r="M69" s="16" t="n">
        <f aca="false">IF(F69=0,0,G69/F69)</f>
        <v>0.967091295116773</v>
      </c>
      <c r="N69" s="16" t="n">
        <f aca="false">K69*L69*M69</f>
        <v>0.759166666666667</v>
      </c>
      <c r="O69" s="19" t="n">
        <f aca="false">MONTH(A69)</f>
        <v>7</v>
      </c>
      <c r="P69" s="19" t="n">
        <f aca="false">INT((A69-DATE(2026,7,1))/7)+1</f>
        <v>2</v>
      </c>
    </row>
    <row r="70" customFormat="false" ht="15" hidden="false" customHeight="false" outlineLevel="0" collapsed="false">
      <c r="A70" s="25" t="n">
        <v>46211</v>
      </c>
      <c r="B70" s="26" t="s">
        <v>17</v>
      </c>
      <c r="C70" s="26" t="s">
        <v>74</v>
      </c>
      <c r="D70" s="26" t="n">
        <v>480</v>
      </c>
      <c r="E70" s="26" t="n">
        <v>10</v>
      </c>
      <c r="F70" s="26" t="n">
        <v>3854</v>
      </c>
      <c r="G70" s="26" t="n">
        <v>3684</v>
      </c>
      <c r="H70" s="19" t="n">
        <f aca="false">SUMIFS(Paradas!$E$2:$E$1973,Paradas!$A$2:$A$1973,A70,Paradas!$B$2:$B$1973,B70,Paradas!$C$2:$C$1973,C70)</f>
        <v>17</v>
      </c>
      <c r="I70" s="19" t="n">
        <f aca="false">D70-H70</f>
        <v>463</v>
      </c>
      <c r="J70" s="19" t="n">
        <f aca="false">I70*E70</f>
        <v>4630</v>
      </c>
      <c r="K70" s="16" t="n">
        <f aca="false">IF(D70=0,0,I70/D70)</f>
        <v>0.964583333333333</v>
      </c>
      <c r="L70" s="16" t="n">
        <f aca="false">IF(J70=0,0,F70/J70)</f>
        <v>0.832397408207343</v>
      </c>
      <c r="M70" s="16" t="n">
        <f aca="false">IF(F70=0,0,G70/F70)</f>
        <v>0.955889984431759</v>
      </c>
      <c r="N70" s="16" t="n">
        <f aca="false">K70*L70*M70</f>
        <v>0.7675</v>
      </c>
      <c r="O70" s="19" t="n">
        <f aca="false">MONTH(A70)</f>
        <v>7</v>
      </c>
      <c r="P70" s="19" t="n">
        <f aca="false">INT((A70-DATE(2026,7,1))/7)+1</f>
        <v>2</v>
      </c>
    </row>
    <row r="71" customFormat="false" ht="15" hidden="false" customHeight="false" outlineLevel="0" collapsed="false">
      <c r="A71" s="25" t="n">
        <v>46211</v>
      </c>
      <c r="B71" s="26" t="s">
        <v>18</v>
      </c>
      <c r="C71" s="26" t="s">
        <v>72</v>
      </c>
      <c r="D71" s="26" t="n">
        <v>480</v>
      </c>
      <c r="E71" s="26" t="n">
        <v>8</v>
      </c>
      <c r="F71" s="26" t="n">
        <v>3024</v>
      </c>
      <c r="G71" s="26" t="n">
        <v>2921</v>
      </c>
      <c r="H71" s="19" t="n">
        <f aca="false">SUMIFS(Paradas!$E$2:$E$1973,Paradas!$A$2:$A$1973,A71,Paradas!$B$2:$B$1973,B71,Paradas!$C$2:$C$1973,C71)</f>
        <v>51</v>
      </c>
      <c r="I71" s="19" t="n">
        <f aca="false">D71-H71</f>
        <v>429</v>
      </c>
      <c r="J71" s="19" t="n">
        <f aca="false">I71*E71</f>
        <v>3432</v>
      </c>
      <c r="K71" s="16" t="n">
        <f aca="false">IF(D71=0,0,I71/D71)</f>
        <v>0.89375</v>
      </c>
      <c r="L71" s="16" t="n">
        <f aca="false">IF(J71=0,0,F71/J71)</f>
        <v>0.881118881118881</v>
      </c>
      <c r="M71" s="16" t="n">
        <f aca="false">IF(F71=0,0,G71/F71)</f>
        <v>0.965939153439154</v>
      </c>
      <c r="N71" s="16" t="n">
        <f aca="false">K71*L71*M71</f>
        <v>0.760677083333334</v>
      </c>
      <c r="O71" s="19" t="n">
        <f aca="false">MONTH(A71)</f>
        <v>7</v>
      </c>
      <c r="P71" s="19" t="n">
        <f aca="false">INT((A71-DATE(2026,7,1))/7)+1</f>
        <v>2</v>
      </c>
    </row>
    <row r="72" customFormat="false" ht="15" hidden="false" customHeight="false" outlineLevel="0" collapsed="false">
      <c r="A72" s="25" t="n">
        <v>46211</v>
      </c>
      <c r="B72" s="26" t="s">
        <v>18</v>
      </c>
      <c r="C72" s="26" t="s">
        <v>73</v>
      </c>
      <c r="D72" s="26" t="n">
        <v>480</v>
      </c>
      <c r="E72" s="26" t="n">
        <v>8</v>
      </c>
      <c r="F72" s="26" t="n">
        <v>3013</v>
      </c>
      <c r="G72" s="26" t="n">
        <v>2950</v>
      </c>
      <c r="H72" s="19" t="n">
        <f aca="false">SUMIFS(Paradas!$E$2:$E$1973,Paradas!$A$2:$A$1973,A72,Paradas!$B$2:$B$1973,B72,Paradas!$C$2:$C$1973,C72)</f>
        <v>82</v>
      </c>
      <c r="I72" s="19" t="n">
        <f aca="false">D72-H72</f>
        <v>398</v>
      </c>
      <c r="J72" s="19" t="n">
        <f aca="false">I72*E72</f>
        <v>3184</v>
      </c>
      <c r="K72" s="16" t="n">
        <f aca="false">IF(D72=0,0,I72/D72)</f>
        <v>0.829166666666667</v>
      </c>
      <c r="L72" s="16" t="n">
        <f aca="false">IF(J72=0,0,F72/J72)</f>
        <v>0.946293969849246</v>
      </c>
      <c r="M72" s="16" t="n">
        <f aca="false">IF(F72=0,0,G72/F72)</f>
        <v>0.979090607368072</v>
      </c>
      <c r="N72" s="16" t="n">
        <f aca="false">K72*L72*M72</f>
        <v>0.768229166666667</v>
      </c>
      <c r="O72" s="19" t="n">
        <f aca="false">MONTH(A72)</f>
        <v>7</v>
      </c>
      <c r="P72" s="19" t="n">
        <f aca="false">INT((A72-DATE(2026,7,1))/7)+1</f>
        <v>2</v>
      </c>
    </row>
    <row r="73" customFormat="false" ht="15" hidden="false" customHeight="false" outlineLevel="0" collapsed="false">
      <c r="A73" s="25" t="n">
        <v>46211</v>
      </c>
      <c r="B73" s="26" t="s">
        <v>18</v>
      </c>
      <c r="C73" s="26" t="s">
        <v>74</v>
      </c>
      <c r="D73" s="26" t="n">
        <v>480</v>
      </c>
      <c r="E73" s="26" t="n">
        <v>8</v>
      </c>
      <c r="F73" s="26" t="n">
        <v>3458</v>
      </c>
      <c r="G73" s="26" t="n">
        <v>3359</v>
      </c>
      <c r="H73" s="19" t="n">
        <f aca="false">SUMIFS(Paradas!$E$2:$E$1973,Paradas!$A$2:$A$1973,A73,Paradas!$B$2:$B$1973,B73,Paradas!$C$2:$C$1973,C73)</f>
        <v>0</v>
      </c>
      <c r="I73" s="19" t="n">
        <f aca="false">D73-H73</f>
        <v>480</v>
      </c>
      <c r="J73" s="19" t="n">
        <f aca="false">I73*E73</f>
        <v>3840</v>
      </c>
      <c r="K73" s="16" t="n">
        <f aca="false">IF(D73=0,0,I73/D73)</f>
        <v>1</v>
      </c>
      <c r="L73" s="16" t="n">
        <f aca="false">IF(J73=0,0,F73/J73)</f>
        <v>0.900520833333333</v>
      </c>
      <c r="M73" s="16" t="n">
        <f aca="false">IF(F73=0,0,G73/F73)</f>
        <v>0.971370734528629</v>
      </c>
      <c r="N73" s="16" t="n">
        <f aca="false">K73*L73*M73</f>
        <v>0.874739583333333</v>
      </c>
      <c r="O73" s="19" t="n">
        <f aca="false">MONTH(A73)</f>
        <v>7</v>
      </c>
      <c r="P73" s="19" t="n">
        <f aca="false">INT((A73-DATE(2026,7,1))/7)+1</f>
        <v>2</v>
      </c>
    </row>
    <row r="74" customFormat="false" ht="15" hidden="false" customHeight="false" outlineLevel="0" collapsed="false">
      <c r="A74" s="25" t="n">
        <v>46212</v>
      </c>
      <c r="B74" s="26" t="s">
        <v>16</v>
      </c>
      <c r="C74" s="26" t="s">
        <v>72</v>
      </c>
      <c r="D74" s="26" t="n">
        <v>480</v>
      </c>
      <c r="E74" s="26" t="n">
        <v>12</v>
      </c>
      <c r="F74" s="26" t="n">
        <v>4898</v>
      </c>
      <c r="G74" s="26" t="n">
        <v>4737</v>
      </c>
      <c r="H74" s="19" t="n">
        <f aca="false">SUMIFS(Paradas!$E$2:$E$1973,Paradas!$A$2:$A$1973,A74,Paradas!$B$2:$B$1973,B74,Paradas!$C$2:$C$1973,C74)</f>
        <v>25</v>
      </c>
      <c r="I74" s="19" t="n">
        <f aca="false">D74-H74</f>
        <v>455</v>
      </c>
      <c r="J74" s="19" t="n">
        <f aca="false">I74*E74</f>
        <v>5460</v>
      </c>
      <c r="K74" s="16" t="n">
        <f aca="false">IF(D74=0,0,I74/D74)</f>
        <v>0.947916666666667</v>
      </c>
      <c r="L74" s="16" t="n">
        <f aca="false">IF(J74=0,0,F74/J74)</f>
        <v>0.897069597069597</v>
      </c>
      <c r="M74" s="16" t="n">
        <f aca="false">IF(F74=0,0,G74/F74)</f>
        <v>0.967129440587995</v>
      </c>
      <c r="N74" s="16" t="n">
        <f aca="false">K74*L74*M74</f>
        <v>0.822395833333333</v>
      </c>
      <c r="O74" s="19" t="n">
        <f aca="false">MONTH(A74)</f>
        <v>7</v>
      </c>
      <c r="P74" s="19" t="n">
        <f aca="false">INT((A74-DATE(2026,7,1))/7)+1</f>
        <v>2</v>
      </c>
    </row>
    <row r="75" customFormat="false" ht="15" hidden="false" customHeight="false" outlineLevel="0" collapsed="false">
      <c r="A75" s="25" t="n">
        <v>46212</v>
      </c>
      <c r="B75" s="26" t="s">
        <v>16</v>
      </c>
      <c r="C75" s="26" t="s">
        <v>73</v>
      </c>
      <c r="D75" s="26" t="n">
        <v>480</v>
      </c>
      <c r="E75" s="26" t="n">
        <v>12</v>
      </c>
      <c r="F75" s="26" t="n">
        <v>4542</v>
      </c>
      <c r="G75" s="26" t="n">
        <v>4484</v>
      </c>
      <c r="H75" s="19" t="n">
        <f aca="false">SUMIFS(Paradas!$E$2:$E$1973,Paradas!$A$2:$A$1973,A75,Paradas!$B$2:$B$1973,B75,Paradas!$C$2:$C$1973,C75)</f>
        <v>56</v>
      </c>
      <c r="I75" s="19" t="n">
        <f aca="false">D75-H75</f>
        <v>424</v>
      </c>
      <c r="J75" s="19" t="n">
        <f aca="false">I75*E75</f>
        <v>5088</v>
      </c>
      <c r="K75" s="16" t="n">
        <f aca="false">IF(D75=0,0,I75/D75)</f>
        <v>0.883333333333333</v>
      </c>
      <c r="L75" s="16" t="n">
        <f aca="false">IF(J75=0,0,F75/J75)</f>
        <v>0.892688679245283</v>
      </c>
      <c r="M75" s="16" t="n">
        <f aca="false">IF(F75=0,0,G75/F75)</f>
        <v>0.987230295024218</v>
      </c>
      <c r="N75" s="16" t="n">
        <f aca="false">K75*L75*M75</f>
        <v>0.778472222222222</v>
      </c>
      <c r="O75" s="19" t="n">
        <f aca="false">MONTH(A75)</f>
        <v>7</v>
      </c>
      <c r="P75" s="19" t="n">
        <f aca="false">INT((A75-DATE(2026,7,1))/7)+1</f>
        <v>2</v>
      </c>
    </row>
    <row r="76" customFormat="false" ht="15" hidden="false" customHeight="false" outlineLevel="0" collapsed="false">
      <c r="A76" s="25" t="n">
        <v>46212</v>
      </c>
      <c r="B76" s="26" t="s">
        <v>16</v>
      </c>
      <c r="C76" s="26" t="s">
        <v>74</v>
      </c>
      <c r="D76" s="26" t="n">
        <v>480</v>
      </c>
      <c r="E76" s="26" t="n">
        <v>12</v>
      </c>
      <c r="F76" s="26" t="n">
        <v>4821</v>
      </c>
      <c r="G76" s="26" t="n">
        <v>4690</v>
      </c>
      <c r="H76" s="19" t="n">
        <f aca="false">SUMIFS(Paradas!$E$2:$E$1973,Paradas!$A$2:$A$1973,A76,Paradas!$B$2:$B$1973,B76,Paradas!$C$2:$C$1973,C76)</f>
        <v>9</v>
      </c>
      <c r="I76" s="19" t="n">
        <f aca="false">D76-H76</f>
        <v>471</v>
      </c>
      <c r="J76" s="19" t="n">
        <f aca="false">I76*E76</f>
        <v>5652</v>
      </c>
      <c r="K76" s="16" t="n">
        <f aca="false">IF(D76=0,0,I76/D76)</f>
        <v>0.98125</v>
      </c>
      <c r="L76" s="16" t="n">
        <f aca="false">IF(J76=0,0,F76/J76)</f>
        <v>0.852972399150743</v>
      </c>
      <c r="M76" s="16" t="n">
        <f aca="false">IF(F76=0,0,G76/F76)</f>
        <v>0.972827214270898</v>
      </c>
      <c r="N76" s="16" t="n">
        <f aca="false">K76*L76*M76</f>
        <v>0.814236111111111</v>
      </c>
      <c r="O76" s="19" t="n">
        <f aca="false">MONTH(A76)</f>
        <v>7</v>
      </c>
      <c r="P76" s="19" t="n">
        <f aca="false">INT((A76-DATE(2026,7,1))/7)+1</f>
        <v>2</v>
      </c>
    </row>
    <row r="77" customFormat="false" ht="15" hidden="false" customHeight="false" outlineLevel="0" collapsed="false">
      <c r="A77" s="25" t="n">
        <v>46212</v>
      </c>
      <c r="B77" s="26" t="s">
        <v>17</v>
      </c>
      <c r="C77" s="26" t="s">
        <v>72</v>
      </c>
      <c r="D77" s="26" t="n">
        <v>480</v>
      </c>
      <c r="E77" s="26" t="n">
        <v>10</v>
      </c>
      <c r="F77" s="26" t="n">
        <v>4182</v>
      </c>
      <c r="G77" s="26" t="n">
        <v>4019</v>
      </c>
      <c r="H77" s="19" t="n">
        <f aca="false">SUMIFS(Paradas!$E$2:$E$1973,Paradas!$A$2:$A$1973,A77,Paradas!$B$2:$B$1973,B77,Paradas!$C$2:$C$1973,C77)</f>
        <v>27</v>
      </c>
      <c r="I77" s="19" t="n">
        <f aca="false">D77-H77</f>
        <v>453</v>
      </c>
      <c r="J77" s="19" t="n">
        <f aca="false">I77*E77</f>
        <v>4530</v>
      </c>
      <c r="K77" s="16" t="n">
        <f aca="false">IF(D77=0,0,I77/D77)</f>
        <v>0.94375</v>
      </c>
      <c r="L77" s="16" t="n">
        <f aca="false">IF(J77=0,0,F77/J77)</f>
        <v>0.92317880794702</v>
      </c>
      <c r="M77" s="16" t="n">
        <f aca="false">IF(F77=0,0,G77/F77)</f>
        <v>0.961023433763749</v>
      </c>
      <c r="N77" s="16" t="n">
        <f aca="false">K77*L77*M77</f>
        <v>0.837291666666667</v>
      </c>
      <c r="O77" s="19" t="n">
        <f aca="false">MONTH(A77)</f>
        <v>7</v>
      </c>
      <c r="P77" s="19" t="n">
        <f aca="false">INT((A77-DATE(2026,7,1))/7)+1</f>
        <v>2</v>
      </c>
    </row>
    <row r="78" customFormat="false" ht="15" hidden="false" customHeight="false" outlineLevel="0" collapsed="false">
      <c r="A78" s="25" t="n">
        <v>46212</v>
      </c>
      <c r="B78" s="26" t="s">
        <v>17</v>
      </c>
      <c r="C78" s="26" t="s">
        <v>73</v>
      </c>
      <c r="D78" s="26" t="n">
        <v>480</v>
      </c>
      <c r="E78" s="26" t="n">
        <v>10</v>
      </c>
      <c r="F78" s="26" t="n">
        <v>3919</v>
      </c>
      <c r="G78" s="26" t="n">
        <v>3764</v>
      </c>
      <c r="H78" s="19" t="n">
        <f aca="false">SUMIFS(Paradas!$E$2:$E$1973,Paradas!$A$2:$A$1973,A78,Paradas!$B$2:$B$1973,B78,Paradas!$C$2:$C$1973,C78)</f>
        <v>33</v>
      </c>
      <c r="I78" s="19" t="n">
        <f aca="false">D78-H78</f>
        <v>447</v>
      </c>
      <c r="J78" s="19" t="n">
        <f aca="false">I78*E78</f>
        <v>4470</v>
      </c>
      <c r="K78" s="16" t="n">
        <f aca="false">IF(D78=0,0,I78/D78)</f>
        <v>0.93125</v>
      </c>
      <c r="L78" s="16" t="n">
        <f aca="false">IF(J78=0,0,F78/J78)</f>
        <v>0.876733780760626</v>
      </c>
      <c r="M78" s="16" t="n">
        <f aca="false">IF(F78=0,0,G78/F78)</f>
        <v>0.960449094156673</v>
      </c>
      <c r="N78" s="16" t="n">
        <f aca="false">K78*L78*M78</f>
        <v>0.784166666666667</v>
      </c>
      <c r="O78" s="19" t="n">
        <f aca="false">MONTH(A78)</f>
        <v>7</v>
      </c>
      <c r="P78" s="19" t="n">
        <f aca="false">INT((A78-DATE(2026,7,1))/7)+1</f>
        <v>2</v>
      </c>
    </row>
    <row r="79" customFormat="false" ht="15" hidden="false" customHeight="false" outlineLevel="0" collapsed="false">
      <c r="A79" s="25" t="n">
        <v>46212</v>
      </c>
      <c r="B79" s="26" t="s">
        <v>17</v>
      </c>
      <c r="C79" s="26" t="s">
        <v>74</v>
      </c>
      <c r="D79" s="26" t="n">
        <v>480</v>
      </c>
      <c r="E79" s="26" t="n">
        <v>10</v>
      </c>
      <c r="F79" s="26" t="n">
        <v>3470</v>
      </c>
      <c r="G79" s="26" t="n">
        <v>3291</v>
      </c>
      <c r="H79" s="19" t="n">
        <f aca="false">SUMIFS(Paradas!$E$2:$E$1973,Paradas!$A$2:$A$1973,A79,Paradas!$B$2:$B$1973,B79,Paradas!$C$2:$C$1973,C79)</f>
        <v>79</v>
      </c>
      <c r="I79" s="19" t="n">
        <f aca="false">D79-H79</f>
        <v>401</v>
      </c>
      <c r="J79" s="19" t="n">
        <f aca="false">I79*E79</f>
        <v>4010</v>
      </c>
      <c r="K79" s="16" t="n">
        <f aca="false">IF(D79=0,0,I79/D79)</f>
        <v>0.835416666666667</v>
      </c>
      <c r="L79" s="16" t="n">
        <f aca="false">IF(J79=0,0,F79/J79)</f>
        <v>0.865336658354115</v>
      </c>
      <c r="M79" s="16" t="n">
        <f aca="false">IF(F79=0,0,G79/F79)</f>
        <v>0.948414985590778</v>
      </c>
      <c r="N79" s="16" t="n">
        <f aca="false">K79*L79*M79</f>
        <v>0.685625</v>
      </c>
      <c r="O79" s="19" t="n">
        <f aca="false">MONTH(A79)</f>
        <v>7</v>
      </c>
      <c r="P79" s="19" t="n">
        <f aca="false">INT((A79-DATE(2026,7,1))/7)+1</f>
        <v>2</v>
      </c>
    </row>
    <row r="80" customFormat="false" ht="15" hidden="false" customHeight="false" outlineLevel="0" collapsed="false">
      <c r="A80" s="25" t="n">
        <v>46212</v>
      </c>
      <c r="B80" s="26" t="s">
        <v>18</v>
      </c>
      <c r="C80" s="26" t="s">
        <v>72</v>
      </c>
      <c r="D80" s="26" t="n">
        <v>480</v>
      </c>
      <c r="E80" s="26" t="n">
        <v>8</v>
      </c>
      <c r="F80" s="26" t="n">
        <v>2576</v>
      </c>
      <c r="G80" s="26" t="n">
        <v>2514</v>
      </c>
      <c r="H80" s="19" t="n">
        <f aca="false">SUMIFS(Paradas!$E$2:$E$1973,Paradas!$A$2:$A$1973,A80,Paradas!$B$2:$B$1973,B80,Paradas!$C$2:$C$1973,C80)</f>
        <v>128</v>
      </c>
      <c r="I80" s="19" t="n">
        <f aca="false">D80-H80</f>
        <v>352</v>
      </c>
      <c r="J80" s="19" t="n">
        <f aca="false">I80*E80</f>
        <v>2816</v>
      </c>
      <c r="K80" s="16" t="n">
        <f aca="false">IF(D80=0,0,I80/D80)</f>
        <v>0.733333333333333</v>
      </c>
      <c r="L80" s="16" t="n">
        <f aca="false">IF(J80=0,0,F80/J80)</f>
        <v>0.914772727272727</v>
      </c>
      <c r="M80" s="16" t="n">
        <f aca="false">IF(F80=0,0,G80/F80)</f>
        <v>0.975931677018634</v>
      </c>
      <c r="N80" s="16" t="n">
        <f aca="false">K80*L80*M80</f>
        <v>0.6546875</v>
      </c>
      <c r="O80" s="19" t="n">
        <f aca="false">MONTH(A80)</f>
        <v>7</v>
      </c>
      <c r="P80" s="19" t="n">
        <f aca="false">INT((A80-DATE(2026,7,1))/7)+1</f>
        <v>2</v>
      </c>
    </row>
    <row r="81" customFormat="false" ht="15" hidden="false" customHeight="false" outlineLevel="0" collapsed="false">
      <c r="A81" s="25" t="n">
        <v>46212</v>
      </c>
      <c r="B81" s="26" t="s">
        <v>18</v>
      </c>
      <c r="C81" s="26" t="s">
        <v>73</v>
      </c>
      <c r="D81" s="26" t="n">
        <v>480</v>
      </c>
      <c r="E81" s="26" t="n">
        <v>8</v>
      </c>
      <c r="F81" s="26" t="n">
        <v>3331</v>
      </c>
      <c r="G81" s="26" t="n">
        <v>3192</v>
      </c>
      <c r="H81" s="19" t="n">
        <f aca="false">SUMIFS(Paradas!$E$2:$E$1973,Paradas!$A$2:$A$1973,A81,Paradas!$B$2:$B$1973,B81,Paradas!$C$2:$C$1973,C81)</f>
        <v>21</v>
      </c>
      <c r="I81" s="19" t="n">
        <f aca="false">D81-H81</f>
        <v>459</v>
      </c>
      <c r="J81" s="19" t="n">
        <f aca="false">I81*E81</f>
        <v>3672</v>
      </c>
      <c r="K81" s="16" t="n">
        <f aca="false">IF(D81=0,0,I81/D81)</f>
        <v>0.95625</v>
      </c>
      <c r="L81" s="16" t="n">
        <f aca="false">IF(J81=0,0,F81/J81)</f>
        <v>0.907135076252723</v>
      </c>
      <c r="M81" s="16" t="n">
        <f aca="false">IF(F81=0,0,G81/F81)</f>
        <v>0.958270789552687</v>
      </c>
      <c r="N81" s="16" t="n">
        <f aca="false">K81*L81*M81</f>
        <v>0.83125</v>
      </c>
      <c r="O81" s="19" t="n">
        <f aca="false">MONTH(A81)</f>
        <v>7</v>
      </c>
      <c r="P81" s="19" t="n">
        <f aca="false">INT((A81-DATE(2026,7,1))/7)+1</f>
        <v>2</v>
      </c>
    </row>
    <row r="82" customFormat="false" ht="15" hidden="false" customHeight="false" outlineLevel="0" collapsed="false">
      <c r="A82" s="25" t="n">
        <v>46212</v>
      </c>
      <c r="B82" s="26" t="s">
        <v>18</v>
      </c>
      <c r="C82" s="26" t="s">
        <v>74</v>
      </c>
      <c r="D82" s="26" t="n">
        <v>480</v>
      </c>
      <c r="E82" s="26" t="n">
        <v>8</v>
      </c>
      <c r="F82" s="26" t="n">
        <v>2915</v>
      </c>
      <c r="G82" s="26" t="n">
        <v>2815</v>
      </c>
      <c r="H82" s="19" t="n">
        <f aca="false">SUMIFS(Paradas!$E$2:$E$1973,Paradas!$A$2:$A$1973,A82,Paradas!$B$2:$B$1973,B82,Paradas!$C$2:$C$1973,C82)</f>
        <v>53</v>
      </c>
      <c r="I82" s="19" t="n">
        <f aca="false">D82-H82</f>
        <v>427</v>
      </c>
      <c r="J82" s="19" t="n">
        <f aca="false">I82*E82</f>
        <v>3416</v>
      </c>
      <c r="K82" s="16" t="n">
        <f aca="false">IF(D82=0,0,I82/D82)</f>
        <v>0.889583333333333</v>
      </c>
      <c r="L82" s="16" t="n">
        <f aca="false">IF(J82=0,0,F82/J82)</f>
        <v>0.853337236533958</v>
      </c>
      <c r="M82" s="16" t="n">
        <f aca="false">IF(F82=0,0,G82/F82)</f>
        <v>0.965694682675815</v>
      </c>
      <c r="N82" s="16" t="n">
        <f aca="false">K82*L82*M82</f>
        <v>0.733072916666667</v>
      </c>
      <c r="O82" s="19" t="n">
        <f aca="false">MONTH(A82)</f>
        <v>7</v>
      </c>
      <c r="P82" s="19" t="n">
        <f aca="false">INT((A82-DATE(2026,7,1))/7)+1</f>
        <v>2</v>
      </c>
    </row>
    <row r="83" customFormat="false" ht="15" hidden="false" customHeight="false" outlineLevel="0" collapsed="false">
      <c r="A83" s="25" t="n">
        <v>46213</v>
      </c>
      <c r="B83" s="26" t="s">
        <v>16</v>
      </c>
      <c r="C83" s="26" t="s">
        <v>72</v>
      </c>
      <c r="D83" s="26" t="n">
        <v>480</v>
      </c>
      <c r="E83" s="26" t="n">
        <v>12</v>
      </c>
      <c r="F83" s="26" t="n">
        <v>3489</v>
      </c>
      <c r="G83" s="26" t="n">
        <v>3440</v>
      </c>
      <c r="H83" s="19" t="n">
        <f aca="false">SUMIFS(Paradas!$E$2:$E$1973,Paradas!$A$2:$A$1973,A83,Paradas!$B$2:$B$1973,B83,Paradas!$C$2:$C$1973,C83)</f>
        <v>146</v>
      </c>
      <c r="I83" s="19" t="n">
        <f aca="false">D83-H83</f>
        <v>334</v>
      </c>
      <c r="J83" s="19" t="n">
        <f aca="false">I83*E83</f>
        <v>4008</v>
      </c>
      <c r="K83" s="16" t="n">
        <f aca="false">IF(D83=0,0,I83/D83)</f>
        <v>0.695833333333333</v>
      </c>
      <c r="L83" s="16" t="n">
        <f aca="false">IF(J83=0,0,F83/J83)</f>
        <v>0.870508982035928</v>
      </c>
      <c r="M83" s="16" t="n">
        <f aca="false">IF(F83=0,0,G83/F83)</f>
        <v>0.985955861278303</v>
      </c>
      <c r="N83" s="16" t="n">
        <f aca="false">K83*L83*M83</f>
        <v>0.597222222222222</v>
      </c>
      <c r="O83" s="19" t="n">
        <f aca="false">MONTH(A83)</f>
        <v>7</v>
      </c>
      <c r="P83" s="19" t="n">
        <f aca="false">INT((A83-DATE(2026,7,1))/7)+1</f>
        <v>2</v>
      </c>
    </row>
    <row r="84" customFormat="false" ht="15" hidden="false" customHeight="false" outlineLevel="0" collapsed="false">
      <c r="A84" s="25" t="n">
        <v>46213</v>
      </c>
      <c r="B84" s="26" t="s">
        <v>16</v>
      </c>
      <c r="C84" s="26" t="s">
        <v>73</v>
      </c>
      <c r="D84" s="26" t="n">
        <v>480</v>
      </c>
      <c r="E84" s="26" t="n">
        <v>12</v>
      </c>
      <c r="F84" s="26" t="n">
        <v>4597</v>
      </c>
      <c r="G84" s="26" t="n">
        <v>4477</v>
      </c>
      <c r="H84" s="19" t="n">
        <f aca="false">SUMIFS(Paradas!$E$2:$E$1973,Paradas!$A$2:$A$1973,A84,Paradas!$B$2:$B$1973,B84,Paradas!$C$2:$C$1973,C84)</f>
        <v>29</v>
      </c>
      <c r="I84" s="19" t="n">
        <f aca="false">D84-H84</f>
        <v>451</v>
      </c>
      <c r="J84" s="19" t="n">
        <f aca="false">I84*E84</f>
        <v>5412</v>
      </c>
      <c r="K84" s="16" t="n">
        <f aca="false">IF(D84=0,0,I84/D84)</f>
        <v>0.939583333333333</v>
      </c>
      <c r="L84" s="16" t="n">
        <f aca="false">IF(J84=0,0,F84/J84)</f>
        <v>0.849408721359941</v>
      </c>
      <c r="M84" s="16" t="n">
        <f aca="false">IF(F84=0,0,G84/F84)</f>
        <v>0.973896019142919</v>
      </c>
      <c r="N84" s="16" t="n">
        <f aca="false">K84*L84*M84</f>
        <v>0.777256944444445</v>
      </c>
      <c r="O84" s="19" t="n">
        <f aca="false">MONTH(A84)</f>
        <v>7</v>
      </c>
      <c r="P84" s="19" t="n">
        <f aca="false">INT((A84-DATE(2026,7,1))/7)+1</f>
        <v>2</v>
      </c>
    </row>
    <row r="85" customFormat="false" ht="15" hidden="false" customHeight="false" outlineLevel="0" collapsed="false">
      <c r="A85" s="25" t="n">
        <v>46213</v>
      </c>
      <c r="B85" s="26" t="s">
        <v>16</v>
      </c>
      <c r="C85" s="26" t="s">
        <v>74</v>
      </c>
      <c r="D85" s="26" t="n">
        <v>480</v>
      </c>
      <c r="E85" s="26" t="n">
        <v>12</v>
      </c>
      <c r="F85" s="26" t="n">
        <v>4859</v>
      </c>
      <c r="G85" s="26" t="n">
        <v>4666</v>
      </c>
      <c r="H85" s="19" t="n">
        <f aca="false">SUMIFS(Paradas!$E$2:$E$1973,Paradas!$A$2:$A$1973,A85,Paradas!$B$2:$B$1973,B85,Paradas!$C$2:$C$1973,C85)</f>
        <v>0</v>
      </c>
      <c r="I85" s="19" t="n">
        <f aca="false">D85-H85</f>
        <v>480</v>
      </c>
      <c r="J85" s="19" t="n">
        <f aca="false">I85*E85</f>
        <v>5760</v>
      </c>
      <c r="K85" s="16" t="n">
        <f aca="false">IF(D85=0,0,I85/D85)</f>
        <v>1</v>
      </c>
      <c r="L85" s="16" t="n">
        <f aca="false">IF(J85=0,0,F85/J85)</f>
        <v>0.843576388888889</v>
      </c>
      <c r="M85" s="16" t="n">
        <f aca="false">IF(F85=0,0,G85/F85)</f>
        <v>0.960279892982095</v>
      </c>
      <c r="N85" s="16" t="n">
        <f aca="false">K85*L85*M85</f>
        <v>0.810069444444444</v>
      </c>
      <c r="O85" s="19" t="n">
        <f aca="false">MONTH(A85)</f>
        <v>7</v>
      </c>
      <c r="P85" s="19" t="n">
        <f aca="false">INT((A85-DATE(2026,7,1))/7)+1</f>
        <v>2</v>
      </c>
    </row>
    <row r="86" customFormat="false" ht="15" hidden="false" customHeight="false" outlineLevel="0" collapsed="false">
      <c r="A86" s="25" t="n">
        <v>46213</v>
      </c>
      <c r="B86" s="26" t="s">
        <v>17</v>
      </c>
      <c r="C86" s="26" t="s">
        <v>72</v>
      </c>
      <c r="D86" s="26" t="n">
        <v>480</v>
      </c>
      <c r="E86" s="26" t="n">
        <v>10</v>
      </c>
      <c r="F86" s="26" t="n">
        <v>3086</v>
      </c>
      <c r="G86" s="26" t="n">
        <v>2983</v>
      </c>
      <c r="H86" s="19" t="n">
        <f aca="false">SUMIFS(Paradas!$E$2:$E$1973,Paradas!$A$2:$A$1973,A86,Paradas!$B$2:$B$1973,B86,Paradas!$C$2:$C$1973,C86)</f>
        <v>140</v>
      </c>
      <c r="I86" s="19" t="n">
        <f aca="false">D86-H86</f>
        <v>340</v>
      </c>
      <c r="J86" s="19" t="n">
        <f aca="false">I86*E86</f>
        <v>3400</v>
      </c>
      <c r="K86" s="16" t="n">
        <f aca="false">IF(D86=0,0,I86/D86)</f>
        <v>0.708333333333333</v>
      </c>
      <c r="L86" s="16" t="n">
        <f aca="false">IF(J86=0,0,F86/J86)</f>
        <v>0.907647058823529</v>
      </c>
      <c r="M86" s="16" t="n">
        <f aca="false">IF(F86=0,0,G86/F86)</f>
        <v>0.966623460790668</v>
      </c>
      <c r="N86" s="16" t="n">
        <f aca="false">K86*L86*M86</f>
        <v>0.621458333333333</v>
      </c>
      <c r="O86" s="19" t="n">
        <f aca="false">MONTH(A86)</f>
        <v>7</v>
      </c>
      <c r="P86" s="19" t="n">
        <f aca="false">INT((A86-DATE(2026,7,1))/7)+1</f>
        <v>2</v>
      </c>
    </row>
    <row r="87" customFormat="false" ht="15" hidden="false" customHeight="false" outlineLevel="0" collapsed="false">
      <c r="A87" s="25" t="n">
        <v>46213</v>
      </c>
      <c r="B87" s="26" t="s">
        <v>17</v>
      </c>
      <c r="C87" s="26" t="s">
        <v>73</v>
      </c>
      <c r="D87" s="26" t="n">
        <v>480</v>
      </c>
      <c r="E87" s="26" t="n">
        <v>10</v>
      </c>
      <c r="F87" s="26" t="n">
        <v>2966</v>
      </c>
      <c r="G87" s="26" t="n">
        <v>2781</v>
      </c>
      <c r="H87" s="19" t="n">
        <f aca="false">SUMIFS(Paradas!$E$2:$E$1973,Paradas!$A$2:$A$1973,A87,Paradas!$B$2:$B$1973,B87,Paradas!$C$2:$C$1973,C87)</f>
        <v>144</v>
      </c>
      <c r="I87" s="19" t="n">
        <f aca="false">D87-H87</f>
        <v>336</v>
      </c>
      <c r="J87" s="19" t="n">
        <f aca="false">I87*E87</f>
        <v>3360</v>
      </c>
      <c r="K87" s="16" t="n">
        <f aca="false">IF(D87=0,0,I87/D87)</f>
        <v>0.7</v>
      </c>
      <c r="L87" s="16" t="n">
        <f aca="false">IF(J87=0,0,F87/J87)</f>
        <v>0.882738095238095</v>
      </c>
      <c r="M87" s="16" t="n">
        <f aca="false">IF(F87=0,0,G87/F87)</f>
        <v>0.937626432906271</v>
      </c>
      <c r="N87" s="16" t="n">
        <f aca="false">K87*L87*M87</f>
        <v>0.579375</v>
      </c>
      <c r="O87" s="19" t="n">
        <f aca="false">MONTH(A87)</f>
        <v>7</v>
      </c>
      <c r="P87" s="19" t="n">
        <f aca="false">INT((A87-DATE(2026,7,1))/7)+1</f>
        <v>2</v>
      </c>
    </row>
    <row r="88" customFormat="false" ht="15" hidden="false" customHeight="false" outlineLevel="0" collapsed="false">
      <c r="A88" s="25" t="n">
        <v>46213</v>
      </c>
      <c r="B88" s="26" t="s">
        <v>17</v>
      </c>
      <c r="C88" s="26" t="s">
        <v>74</v>
      </c>
      <c r="D88" s="26" t="n">
        <v>480</v>
      </c>
      <c r="E88" s="26" t="n">
        <v>10</v>
      </c>
      <c r="F88" s="26" t="n">
        <v>4083</v>
      </c>
      <c r="G88" s="26" t="n">
        <v>3904</v>
      </c>
      <c r="H88" s="19" t="n">
        <f aca="false">SUMIFS(Paradas!$E$2:$E$1973,Paradas!$A$2:$A$1973,A88,Paradas!$B$2:$B$1973,B88,Paradas!$C$2:$C$1973,C88)</f>
        <v>0</v>
      </c>
      <c r="I88" s="19" t="n">
        <f aca="false">D88-H88</f>
        <v>480</v>
      </c>
      <c r="J88" s="19" t="n">
        <f aca="false">I88*E88</f>
        <v>4800</v>
      </c>
      <c r="K88" s="16" t="n">
        <f aca="false">IF(D88=0,0,I88/D88)</f>
        <v>1</v>
      </c>
      <c r="L88" s="16" t="n">
        <f aca="false">IF(J88=0,0,F88/J88)</f>
        <v>0.850625</v>
      </c>
      <c r="M88" s="16" t="n">
        <f aca="false">IF(F88=0,0,G88/F88)</f>
        <v>0.956159686505021</v>
      </c>
      <c r="N88" s="16" t="n">
        <f aca="false">K88*L88*M88</f>
        <v>0.813333333333333</v>
      </c>
      <c r="O88" s="19" t="n">
        <f aca="false">MONTH(A88)</f>
        <v>7</v>
      </c>
      <c r="P88" s="19" t="n">
        <f aca="false">INT((A88-DATE(2026,7,1))/7)+1</f>
        <v>2</v>
      </c>
    </row>
    <row r="89" customFormat="false" ht="15" hidden="false" customHeight="false" outlineLevel="0" collapsed="false">
      <c r="A89" s="25" t="n">
        <v>46213</v>
      </c>
      <c r="B89" s="26" t="s">
        <v>18</v>
      </c>
      <c r="C89" s="26" t="s">
        <v>72</v>
      </c>
      <c r="D89" s="26" t="n">
        <v>480</v>
      </c>
      <c r="E89" s="26" t="n">
        <v>8</v>
      </c>
      <c r="F89" s="26" t="n">
        <v>3334</v>
      </c>
      <c r="G89" s="26" t="n">
        <v>3311</v>
      </c>
      <c r="H89" s="19" t="n">
        <f aca="false">SUMIFS(Paradas!$E$2:$E$1973,Paradas!$A$2:$A$1973,A89,Paradas!$B$2:$B$1973,B89,Paradas!$C$2:$C$1973,C89)</f>
        <v>32</v>
      </c>
      <c r="I89" s="19" t="n">
        <f aca="false">D89-H89</f>
        <v>448</v>
      </c>
      <c r="J89" s="19" t="n">
        <f aca="false">I89*E89</f>
        <v>3584</v>
      </c>
      <c r="K89" s="16" t="n">
        <f aca="false">IF(D89=0,0,I89/D89)</f>
        <v>0.933333333333333</v>
      </c>
      <c r="L89" s="16" t="n">
        <f aca="false">IF(J89=0,0,F89/J89)</f>
        <v>0.930245535714286</v>
      </c>
      <c r="M89" s="16" t="n">
        <f aca="false">IF(F89=0,0,G89/F89)</f>
        <v>0.993101379724055</v>
      </c>
      <c r="N89" s="16" t="n">
        <f aca="false">K89*L89*M89</f>
        <v>0.862239583333333</v>
      </c>
      <c r="O89" s="19" t="n">
        <f aca="false">MONTH(A89)</f>
        <v>7</v>
      </c>
      <c r="P89" s="19" t="n">
        <f aca="false">INT((A89-DATE(2026,7,1))/7)+1</f>
        <v>2</v>
      </c>
    </row>
    <row r="90" customFormat="false" ht="15" hidden="false" customHeight="false" outlineLevel="0" collapsed="false">
      <c r="A90" s="25" t="n">
        <v>46213</v>
      </c>
      <c r="B90" s="26" t="s">
        <v>18</v>
      </c>
      <c r="C90" s="26" t="s">
        <v>73</v>
      </c>
      <c r="D90" s="26" t="n">
        <v>480</v>
      </c>
      <c r="E90" s="26" t="n">
        <v>8</v>
      </c>
      <c r="F90" s="26" t="n">
        <v>2670</v>
      </c>
      <c r="G90" s="26" t="n">
        <v>2595</v>
      </c>
      <c r="H90" s="19" t="n">
        <f aca="false">SUMIFS(Paradas!$E$2:$E$1973,Paradas!$A$2:$A$1973,A90,Paradas!$B$2:$B$1973,B90,Paradas!$C$2:$C$1973,C90)</f>
        <v>92</v>
      </c>
      <c r="I90" s="19" t="n">
        <f aca="false">D90-H90</f>
        <v>388</v>
      </c>
      <c r="J90" s="19" t="n">
        <f aca="false">I90*E90</f>
        <v>3104</v>
      </c>
      <c r="K90" s="16" t="n">
        <f aca="false">IF(D90=0,0,I90/D90)</f>
        <v>0.808333333333333</v>
      </c>
      <c r="L90" s="16" t="n">
        <f aca="false">IF(J90=0,0,F90/J90)</f>
        <v>0.860180412371134</v>
      </c>
      <c r="M90" s="16" t="n">
        <f aca="false">IF(F90=0,0,G90/F90)</f>
        <v>0.971910112359551</v>
      </c>
      <c r="N90" s="16" t="n">
        <f aca="false">K90*L90*M90</f>
        <v>0.67578125</v>
      </c>
      <c r="O90" s="19" t="n">
        <f aca="false">MONTH(A90)</f>
        <v>7</v>
      </c>
      <c r="P90" s="19" t="n">
        <f aca="false">INT((A90-DATE(2026,7,1))/7)+1</f>
        <v>2</v>
      </c>
    </row>
    <row r="91" customFormat="false" ht="15" hidden="false" customHeight="false" outlineLevel="0" collapsed="false">
      <c r="A91" s="25" t="n">
        <v>46213</v>
      </c>
      <c r="B91" s="26" t="s">
        <v>18</v>
      </c>
      <c r="C91" s="26" t="s">
        <v>74</v>
      </c>
      <c r="D91" s="26" t="n">
        <v>480</v>
      </c>
      <c r="E91" s="26" t="n">
        <v>8</v>
      </c>
      <c r="F91" s="26" t="n">
        <v>2404</v>
      </c>
      <c r="G91" s="26" t="n">
        <v>2374</v>
      </c>
      <c r="H91" s="19" t="n">
        <f aca="false">SUMIFS(Paradas!$E$2:$E$1973,Paradas!$A$2:$A$1973,A91,Paradas!$B$2:$B$1973,B91,Paradas!$C$2:$C$1973,C91)</f>
        <v>128</v>
      </c>
      <c r="I91" s="19" t="n">
        <f aca="false">D91-H91</f>
        <v>352</v>
      </c>
      <c r="J91" s="19" t="n">
        <f aca="false">I91*E91</f>
        <v>2816</v>
      </c>
      <c r="K91" s="16" t="n">
        <f aca="false">IF(D91=0,0,I91/D91)</f>
        <v>0.733333333333333</v>
      </c>
      <c r="L91" s="16" t="n">
        <f aca="false">IF(J91=0,0,F91/J91)</f>
        <v>0.853693181818182</v>
      </c>
      <c r="M91" s="16" t="n">
        <f aca="false">IF(F91=0,0,G91/F91)</f>
        <v>0.987520798668885</v>
      </c>
      <c r="N91" s="16" t="n">
        <f aca="false">K91*L91*M91</f>
        <v>0.618229166666667</v>
      </c>
      <c r="O91" s="19" t="n">
        <f aca="false">MONTH(A91)</f>
        <v>7</v>
      </c>
      <c r="P91" s="19" t="n">
        <f aca="false">INT((A91-DATE(2026,7,1))/7)+1</f>
        <v>2</v>
      </c>
    </row>
    <row r="92" customFormat="false" ht="15" hidden="false" customHeight="false" outlineLevel="0" collapsed="false">
      <c r="A92" s="25" t="n">
        <v>46214</v>
      </c>
      <c r="B92" s="26" t="s">
        <v>16</v>
      </c>
      <c r="C92" s="26" t="s">
        <v>72</v>
      </c>
      <c r="D92" s="26" t="n">
        <v>480</v>
      </c>
      <c r="E92" s="26" t="n">
        <v>12</v>
      </c>
      <c r="F92" s="26" t="n">
        <v>4466</v>
      </c>
      <c r="G92" s="26" t="n">
        <v>4369</v>
      </c>
      <c r="H92" s="19" t="n">
        <f aca="false">SUMIFS(Paradas!$E$2:$E$1973,Paradas!$A$2:$A$1973,A92,Paradas!$B$2:$B$1973,B92,Paradas!$C$2:$C$1973,C92)</f>
        <v>78</v>
      </c>
      <c r="I92" s="19" t="n">
        <f aca="false">D92-H92</f>
        <v>402</v>
      </c>
      <c r="J92" s="19" t="n">
        <f aca="false">I92*E92</f>
        <v>4824</v>
      </c>
      <c r="K92" s="16" t="n">
        <f aca="false">IF(D92=0,0,I92/D92)</f>
        <v>0.8375</v>
      </c>
      <c r="L92" s="16" t="n">
        <f aca="false">IF(J92=0,0,F92/J92)</f>
        <v>0.925787728026534</v>
      </c>
      <c r="M92" s="16" t="n">
        <f aca="false">IF(F92=0,0,G92/F92)</f>
        <v>0.978280340349306</v>
      </c>
      <c r="N92" s="16" t="n">
        <f aca="false">K92*L92*M92</f>
        <v>0.758506944444444</v>
      </c>
      <c r="O92" s="19" t="n">
        <f aca="false">MONTH(A92)</f>
        <v>7</v>
      </c>
      <c r="P92" s="19" t="n">
        <f aca="false">INT((A92-DATE(2026,7,1))/7)+1</f>
        <v>2</v>
      </c>
    </row>
    <row r="93" customFormat="false" ht="15" hidden="false" customHeight="false" outlineLevel="0" collapsed="false">
      <c r="A93" s="25" t="n">
        <v>46214</v>
      </c>
      <c r="B93" s="26" t="s">
        <v>16</v>
      </c>
      <c r="C93" s="26" t="s">
        <v>73</v>
      </c>
      <c r="D93" s="26" t="n">
        <v>480</v>
      </c>
      <c r="E93" s="26" t="n">
        <v>12</v>
      </c>
      <c r="F93" s="26" t="n">
        <v>5079</v>
      </c>
      <c r="G93" s="26" t="n">
        <v>4859</v>
      </c>
      <c r="H93" s="19" t="n">
        <f aca="false">SUMIFS(Paradas!$E$2:$E$1973,Paradas!$A$2:$A$1973,A93,Paradas!$B$2:$B$1973,B93,Paradas!$C$2:$C$1973,C93)</f>
        <v>0</v>
      </c>
      <c r="I93" s="19" t="n">
        <f aca="false">D93-H93</f>
        <v>480</v>
      </c>
      <c r="J93" s="19" t="n">
        <f aca="false">I93*E93</f>
        <v>5760</v>
      </c>
      <c r="K93" s="16" t="n">
        <f aca="false">IF(D93=0,0,I93/D93)</f>
        <v>1</v>
      </c>
      <c r="L93" s="16" t="n">
        <f aca="false">IF(J93=0,0,F93/J93)</f>
        <v>0.881770833333333</v>
      </c>
      <c r="M93" s="16" t="n">
        <f aca="false">IF(F93=0,0,G93/F93)</f>
        <v>0.956684386690293</v>
      </c>
      <c r="N93" s="16" t="n">
        <f aca="false">K93*L93*M93</f>
        <v>0.843576388888889</v>
      </c>
      <c r="O93" s="19" t="n">
        <f aca="false">MONTH(A93)</f>
        <v>7</v>
      </c>
      <c r="P93" s="19" t="n">
        <f aca="false">INT((A93-DATE(2026,7,1))/7)+1</f>
        <v>2</v>
      </c>
    </row>
    <row r="94" customFormat="false" ht="15" hidden="false" customHeight="false" outlineLevel="0" collapsed="false">
      <c r="A94" s="25" t="n">
        <v>46214</v>
      </c>
      <c r="B94" s="26" t="s">
        <v>16</v>
      </c>
      <c r="C94" s="26" t="s">
        <v>74</v>
      </c>
      <c r="D94" s="26" t="n">
        <v>480</v>
      </c>
      <c r="E94" s="26" t="n">
        <v>12</v>
      </c>
      <c r="F94" s="26" t="n">
        <v>4658</v>
      </c>
      <c r="G94" s="26" t="n">
        <v>4534</v>
      </c>
      <c r="H94" s="19" t="n">
        <f aca="false">SUMIFS(Paradas!$E$2:$E$1973,Paradas!$A$2:$A$1973,A94,Paradas!$B$2:$B$1973,B94,Paradas!$C$2:$C$1973,C94)</f>
        <v>42</v>
      </c>
      <c r="I94" s="19" t="n">
        <f aca="false">D94-H94</f>
        <v>438</v>
      </c>
      <c r="J94" s="19" t="n">
        <f aca="false">I94*E94</f>
        <v>5256</v>
      </c>
      <c r="K94" s="16" t="n">
        <f aca="false">IF(D94=0,0,I94/D94)</f>
        <v>0.9125</v>
      </c>
      <c r="L94" s="16" t="n">
        <f aca="false">IF(J94=0,0,F94/J94)</f>
        <v>0.886225266362253</v>
      </c>
      <c r="M94" s="16" t="n">
        <f aca="false">IF(F94=0,0,G94/F94)</f>
        <v>0.973379132674968</v>
      </c>
      <c r="N94" s="16" t="n">
        <f aca="false">K94*L94*M94</f>
        <v>0.787152777777778</v>
      </c>
      <c r="O94" s="19" t="n">
        <f aca="false">MONTH(A94)</f>
        <v>7</v>
      </c>
      <c r="P94" s="19" t="n">
        <f aca="false">INT((A94-DATE(2026,7,1))/7)+1</f>
        <v>2</v>
      </c>
    </row>
    <row r="95" customFormat="false" ht="15" hidden="false" customHeight="false" outlineLevel="0" collapsed="false">
      <c r="A95" s="25" t="n">
        <v>46214</v>
      </c>
      <c r="B95" s="26" t="s">
        <v>17</v>
      </c>
      <c r="C95" s="26" t="s">
        <v>72</v>
      </c>
      <c r="D95" s="26" t="n">
        <v>480</v>
      </c>
      <c r="E95" s="26" t="n">
        <v>10</v>
      </c>
      <c r="F95" s="26" t="n">
        <v>2958</v>
      </c>
      <c r="G95" s="26" t="n">
        <v>2792</v>
      </c>
      <c r="H95" s="19" t="n">
        <f aca="false">SUMIFS(Paradas!$E$2:$E$1973,Paradas!$A$2:$A$1973,A95,Paradas!$B$2:$B$1973,B95,Paradas!$C$2:$C$1973,C95)</f>
        <v>143</v>
      </c>
      <c r="I95" s="19" t="n">
        <f aca="false">D95-H95</f>
        <v>337</v>
      </c>
      <c r="J95" s="19" t="n">
        <f aca="false">I95*E95</f>
        <v>3370</v>
      </c>
      <c r="K95" s="16" t="n">
        <f aca="false">IF(D95=0,0,I95/D95)</f>
        <v>0.702083333333333</v>
      </c>
      <c r="L95" s="16" t="n">
        <f aca="false">IF(J95=0,0,F95/J95)</f>
        <v>0.877744807121662</v>
      </c>
      <c r="M95" s="16" t="n">
        <f aca="false">IF(F95=0,0,G95/F95)</f>
        <v>0.943881000676133</v>
      </c>
      <c r="N95" s="16" t="n">
        <f aca="false">K95*L95*M95</f>
        <v>0.581666666666667</v>
      </c>
      <c r="O95" s="19" t="n">
        <f aca="false">MONTH(A95)</f>
        <v>7</v>
      </c>
      <c r="P95" s="19" t="n">
        <f aca="false">INT((A95-DATE(2026,7,1))/7)+1</f>
        <v>2</v>
      </c>
    </row>
    <row r="96" customFormat="false" ht="15" hidden="false" customHeight="false" outlineLevel="0" collapsed="false">
      <c r="A96" s="25" t="n">
        <v>46214</v>
      </c>
      <c r="B96" s="26" t="s">
        <v>17</v>
      </c>
      <c r="C96" s="26" t="s">
        <v>73</v>
      </c>
      <c r="D96" s="26" t="n">
        <v>480</v>
      </c>
      <c r="E96" s="26" t="n">
        <v>10</v>
      </c>
      <c r="F96" s="26" t="n">
        <v>4187</v>
      </c>
      <c r="G96" s="26" t="n">
        <v>4048</v>
      </c>
      <c r="H96" s="19" t="n">
        <f aca="false">SUMIFS(Paradas!$E$2:$E$1973,Paradas!$A$2:$A$1973,A96,Paradas!$B$2:$B$1973,B96,Paradas!$C$2:$C$1973,C96)</f>
        <v>31</v>
      </c>
      <c r="I96" s="19" t="n">
        <f aca="false">D96-H96</f>
        <v>449</v>
      </c>
      <c r="J96" s="19" t="n">
        <f aca="false">I96*E96</f>
        <v>4490</v>
      </c>
      <c r="K96" s="16" t="n">
        <f aca="false">IF(D96=0,0,I96/D96)</f>
        <v>0.935416666666667</v>
      </c>
      <c r="L96" s="16" t="n">
        <f aca="false">IF(J96=0,0,F96/J96)</f>
        <v>0.932516703786192</v>
      </c>
      <c r="M96" s="16" t="n">
        <f aca="false">IF(F96=0,0,G96/F96)</f>
        <v>0.966802006209697</v>
      </c>
      <c r="N96" s="16" t="n">
        <f aca="false">K96*L96*M96</f>
        <v>0.843333333333333</v>
      </c>
      <c r="O96" s="19" t="n">
        <f aca="false">MONTH(A96)</f>
        <v>7</v>
      </c>
      <c r="P96" s="19" t="n">
        <f aca="false">INT((A96-DATE(2026,7,1))/7)+1</f>
        <v>2</v>
      </c>
    </row>
    <row r="97" customFormat="false" ht="15" hidden="false" customHeight="false" outlineLevel="0" collapsed="false">
      <c r="A97" s="25" t="n">
        <v>46214</v>
      </c>
      <c r="B97" s="26" t="s">
        <v>17</v>
      </c>
      <c r="C97" s="26" t="s">
        <v>74</v>
      </c>
      <c r="D97" s="26" t="n">
        <v>480</v>
      </c>
      <c r="E97" s="26" t="n">
        <v>10</v>
      </c>
      <c r="F97" s="26" t="n">
        <v>3993</v>
      </c>
      <c r="G97" s="26" t="n">
        <v>3812</v>
      </c>
      <c r="H97" s="19" t="n">
        <f aca="false">SUMIFS(Paradas!$E$2:$E$1973,Paradas!$A$2:$A$1973,A97,Paradas!$B$2:$B$1973,B97,Paradas!$C$2:$C$1973,C97)</f>
        <v>17</v>
      </c>
      <c r="I97" s="19" t="n">
        <f aca="false">D97-H97</f>
        <v>463</v>
      </c>
      <c r="J97" s="19" t="n">
        <f aca="false">I97*E97</f>
        <v>4630</v>
      </c>
      <c r="K97" s="16" t="n">
        <f aca="false">IF(D97=0,0,I97/D97)</f>
        <v>0.964583333333333</v>
      </c>
      <c r="L97" s="16" t="n">
        <f aca="false">IF(J97=0,0,F97/J97)</f>
        <v>0.862419006479482</v>
      </c>
      <c r="M97" s="16" t="n">
        <f aca="false">IF(F97=0,0,G97/F97)</f>
        <v>0.954670673678938</v>
      </c>
      <c r="N97" s="16" t="n">
        <f aca="false">K97*L97*M97</f>
        <v>0.794166666666667</v>
      </c>
      <c r="O97" s="19" t="n">
        <f aca="false">MONTH(A97)</f>
        <v>7</v>
      </c>
      <c r="P97" s="19" t="n">
        <f aca="false">INT((A97-DATE(2026,7,1))/7)+1</f>
        <v>2</v>
      </c>
    </row>
    <row r="98" customFormat="false" ht="15" hidden="false" customHeight="false" outlineLevel="0" collapsed="false">
      <c r="A98" s="25" t="n">
        <v>46214</v>
      </c>
      <c r="B98" s="26" t="s">
        <v>18</v>
      </c>
      <c r="C98" s="26" t="s">
        <v>72</v>
      </c>
      <c r="D98" s="26" t="n">
        <v>480</v>
      </c>
      <c r="E98" s="26" t="n">
        <v>8</v>
      </c>
      <c r="F98" s="26" t="n">
        <v>3390</v>
      </c>
      <c r="G98" s="26" t="n">
        <v>3297</v>
      </c>
      <c r="H98" s="19" t="n">
        <f aca="false">SUMIFS(Paradas!$E$2:$E$1973,Paradas!$A$2:$A$1973,A98,Paradas!$B$2:$B$1973,B98,Paradas!$C$2:$C$1973,C98)</f>
        <v>0</v>
      </c>
      <c r="I98" s="19" t="n">
        <f aca="false">D98-H98</f>
        <v>480</v>
      </c>
      <c r="J98" s="19" t="n">
        <f aca="false">I98*E98</f>
        <v>3840</v>
      </c>
      <c r="K98" s="16" t="n">
        <f aca="false">IF(D98=0,0,I98/D98)</f>
        <v>1</v>
      </c>
      <c r="L98" s="16" t="n">
        <f aca="false">IF(J98=0,0,F98/J98)</f>
        <v>0.8828125</v>
      </c>
      <c r="M98" s="16" t="n">
        <f aca="false">IF(F98=0,0,G98/F98)</f>
        <v>0.972566371681416</v>
      </c>
      <c r="N98" s="16" t="n">
        <f aca="false">K98*L98*M98</f>
        <v>0.85859375</v>
      </c>
      <c r="O98" s="19" t="n">
        <f aca="false">MONTH(A98)</f>
        <v>7</v>
      </c>
      <c r="P98" s="19" t="n">
        <f aca="false">INT((A98-DATE(2026,7,1))/7)+1</f>
        <v>2</v>
      </c>
    </row>
    <row r="99" customFormat="false" ht="15" hidden="false" customHeight="false" outlineLevel="0" collapsed="false">
      <c r="A99" s="25" t="n">
        <v>46214</v>
      </c>
      <c r="B99" s="26" t="s">
        <v>18</v>
      </c>
      <c r="C99" s="26" t="s">
        <v>73</v>
      </c>
      <c r="D99" s="26" t="n">
        <v>480</v>
      </c>
      <c r="E99" s="26" t="n">
        <v>8</v>
      </c>
      <c r="F99" s="26" t="n">
        <v>2421</v>
      </c>
      <c r="G99" s="26" t="n">
        <v>2346</v>
      </c>
      <c r="H99" s="19" t="n">
        <f aca="false">SUMIFS(Paradas!$E$2:$E$1973,Paradas!$A$2:$A$1973,A99,Paradas!$B$2:$B$1973,B99,Paradas!$C$2:$C$1973,C99)</f>
        <v>154</v>
      </c>
      <c r="I99" s="19" t="n">
        <f aca="false">D99-H99</f>
        <v>326</v>
      </c>
      <c r="J99" s="19" t="n">
        <f aca="false">I99*E99</f>
        <v>2608</v>
      </c>
      <c r="K99" s="16" t="n">
        <f aca="false">IF(D99=0,0,I99/D99)</f>
        <v>0.679166666666667</v>
      </c>
      <c r="L99" s="16" t="n">
        <f aca="false">IF(J99=0,0,F99/J99)</f>
        <v>0.92829754601227</v>
      </c>
      <c r="M99" s="16" t="n">
        <f aca="false">IF(F99=0,0,G99/F99)</f>
        <v>0.969021065675341</v>
      </c>
      <c r="N99" s="16" t="n">
        <f aca="false">K99*L99*M99</f>
        <v>0.6109375</v>
      </c>
      <c r="O99" s="19" t="n">
        <f aca="false">MONTH(A99)</f>
        <v>7</v>
      </c>
      <c r="P99" s="19" t="n">
        <f aca="false">INT((A99-DATE(2026,7,1))/7)+1</f>
        <v>2</v>
      </c>
    </row>
    <row r="100" customFormat="false" ht="15" hidden="false" customHeight="false" outlineLevel="0" collapsed="false">
      <c r="A100" s="25" t="n">
        <v>46214</v>
      </c>
      <c r="B100" s="26" t="s">
        <v>18</v>
      </c>
      <c r="C100" s="26" t="s">
        <v>74</v>
      </c>
      <c r="D100" s="26" t="n">
        <v>480</v>
      </c>
      <c r="E100" s="26" t="n">
        <v>8</v>
      </c>
      <c r="F100" s="26" t="n">
        <v>2561</v>
      </c>
      <c r="G100" s="26" t="n">
        <v>2463</v>
      </c>
      <c r="H100" s="19" t="n">
        <f aca="false">SUMIFS(Paradas!$E$2:$E$1973,Paradas!$A$2:$A$1973,A100,Paradas!$B$2:$B$1973,B100,Paradas!$C$2:$C$1973,C100)</f>
        <v>113</v>
      </c>
      <c r="I100" s="19" t="n">
        <f aca="false">D100-H100</f>
        <v>367</v>
      </c>
      <c r="J100" s="19" t="n">
        <f aca="false">I100*E100</f>
        <v>2936</v>
      </c>
      <c r="K100" s="16" t="n">
        <f aca="false">IF(D100=0,0,I100/D100)</f>
        <v>0.764583333333333</v>
      </c>
      <c r="L100" s="16" t="n">
        <f aca="false">IF(J100=0,0,F100/J100)</f>
        <v>0.872275204359673</v>
      </c>
      <c r="M100" s="16" t="n">
        <f aca="false">IF(F100=0,0,G100/F100)</f>
        <v>0.961733697774307</v>
      </c>
      <c r="N100" s="16" t="n">
        <f aca="false">K100*L100*M100</f>
        <v>0.64140625</v>
      </c>
      <c r="O100" s="19" t="n">
        <f aca="false">MONTH(A100)</f>
        <v>7</v>
      </c>
      <c r="P100" s="19" t="n">
        <f aca="false">INT((A100-DATE(2026,7,1))/7)+1</f>
        <v>2</v>
      </c>
    </row>
    <row r="101" customFormat="false" ht="15" hidden="false" customHeight="false" outlineLevel="0" collapsed="false">
      <c r="A101" s="25" t="n">
        <v>46215</v>
      </c>
      <c r="B101" s="26" t="s">
        <v>16</v>
      </c>
      <c r="C101" s="26" t="s">
        <v>72</v>
      </c>
      <c r="D101" s="26" t="n">
        <v>480</v>
      </c>
      <c r="E101" s="26" t="n">
        <v>12</v>
      </c>
      <c r="F101" s="26" t="n">
        <v>4604</v>
      </c>
      <c r="G101" s="26" t="n">
        <v>4496</v>
      </c>
      <c r="H101" s="19" t="n">
        <f aca="false">SUMIFS(Paradas!$E$2:$E$1973,Paradas!$A$2:$A$1973,A101,Paradas!$B$2:$B$1973,B101,Paradas!$C$2:$C$1973,C101)</f>
        <v>70</v>
      </c>
      <c r="I101" s="19" t="n">
        <f aca="false">D101-H101</f>
        <v>410</v>
      </c>
      <c r="J101" s="19" t="n">
        <f aca="false">I101*E101</f>
        <v>4920</v>
      </c>
      <c r="K101" s="16" t="n">
        <f aca="false">IF(D101=0,0,I101/D101)</f>
        <v>0.854166666666667</v>
      </c>
      <c r="L101" s="16" t="n">
        <f aca="false">IF(J101=0,0,F101/J101)</f>
        <v>0.935772357723577</v>
      </c>
      <c r="M101" s="16" t="n">
        <f aca="false">IF(F101=0,0,G101/F101)</f>
        <v>0.976542137271937</v>
      </c>
      <c r="N101" s="16" t="n">
        <f aca="false">K101*L101*M101</f>
        <v>0.780555555555555</v>
      </c>
      <c r="O101" s="19" t="n">
        <f aca="false">MONTH(A101)</f>
        <v>7</v>
      </c>
      <c r="P101" s="19" t="n">
        <f aca="false">INT((A101-DATE(2026,7,1))/7)+1</f>
        <v>2</v>
      </c>
    </row>
    <row r="102" customFormat="false" ht="15" hidden="false" customHeight="false" outlineLevel="0" collapsed="false">
      <c r="A102" s="25" t="n">
        <v>46215</v>
      </c>
      <c r="B102" s="26" t="s">
        <v>16</v>
      </c>
      <c r="C102" s="26" t="s">
        <v>73</v>
      </c>
      <c r="D102" s="26" t="n">
        <v>480</v>
      </c>
      <c r="E102" s="26" t="n">
        <v>12</v>
      </c>
      <c r="F102" s="26" t="n">
        <v>4869</v>
      </c>
      <c r="G102" s="26" t="n">
        <v>4745</v>
      </c>
      <c r="H102" s="19" t="n">
        <f aca="false">SUMIFS(Paradas!$E$2:$E$1973,Paradas!$A$2:$A$1973,A102,Paradas!$B$2:$B$1973,B102,Paradas!$C$2:$C$1973,C102)</f>
        <v>47</v>
      </c>
      <c r="I102" s="19" t="n">
        <f aca="false">D102-H102</f>
        <v>433</v>
      </c>
      <c r="J102" s="19" t="n">
        <f aca="false">I102*E102</f>
        <v>5196</v>
      </c>
      <c r="K102" s="16" t="n">
        <f aca="false">IF(D102=0,0,I102/D102)</f>
        <v>0.902083333333333</v>
      </c>
      <c r="L102" s="16" t="n">
        <f aca="false">IF(J102=0,0,F102/J102)</f>
        <v>0.937066974595843</v>
      </c>
      <c r="M102" s="16" t="n">
        <f aca="false">IF(F102=0,0,G102/F102)</f>
        <v>0.974532758266585</v>
      </c>
      <c r="N102" s="16" t="n">
        <f aca="false">K102*L102*M102</f>
        <v>0.823784722222222</v>
      </c>
      <c r="O102" s="19" t="n">
        <f aca="false">MONTH(A102)</f>
        <v>7</v>
      </c>
      <c r="P102" s="19" t="n">
        <f aca="false">INT((A102-DATE(2026,7,1))/7)+1</f>
        <v>2</v>
      </c>
    </row>
    <row r="103" customFormat="false" ht="15" hidden="false" customHeight="false" outlineLevel="0" collapsed="false">
      <c r="A103" s="25" t="n">
        <v>46215</v>
      </c>
      <c r="B103" s="26" t="s">
        <v>16</v>
      </c>
      <c r="C103" s="26" t="s">
        <v>74</v>
      </c>
      <c r="D103" s="26" t="n">
        <v>480</v>
      </c>
      <c r="E103" s="26" t="n">
        <v>12</v>
      </c>
      <c r="F103" s="26" t="n">
        <v>4864</v>
      </c>
      <c r="G103" s="26" t="n">
        <v>4761</v>
      </c>
      <c r="H103" s="19" t="n">
        <f aca="false">SUMIFS(Paradas!$E$2:$E$1973,Paradas!$A$2:$A$1973,A103,Paradas!$B$2:$B$1973,B103,Paradas!$C$2:$C$1973,C103)</f>
        <v>0</v>
      </c>
      <c r="I103" s="19" t="n">
        <f aca="false">D103-H103</f>
        <v>480</v>
      </c>
      <c r="J103" s="19" t="n">
        <f aca="false">I103*E103</f>
        <v>5760</v>
      </c>
      <c r="K103" s="16" t="n">
        <f aca="false">IF(D103=0,0,I103/D103)</f>
        <v>1</v>
      </c>
      <c r="L103" s="16" t="n">
        <f aca="false">IF(J103=0,0,F103/J103)</f>
        <v>0.844444444444444</v>
      </c>
      <c r="M103" s="16" t="n">
        <f aca="false">IF(F103=0,0,G103/F103)</f>
        <v>0.978824013157895</v>
      </c>
      <c r="N103" s="16" t="n">
        <f aca="false">K103*L103*M103</f>
        <v>0.8265625</v>
      </c>
      <c r="O103" s="19" t="n">
        <f aca="false">MONTH(A103)</f>
        <v>7</v>
      </c>
      <c r="P103" s="19" t="n">
        <f aca="false">INT((A103-DATE(2026,7,1))/7)+1</f>
        <v>2</v>
      </c>
    </row>
    <row r="104" customFormat="false" ht="15" hidden="false" customHeight="false" outlineLevel="0" collapsed="false">
      <c r="A104" s="25" t="n">
        <v>46215</v>
      </c>
      <c r="B104" s="26" t="s">
        <v>17</v>
      </c>
      <c r="C104" s="26" t="s">
        <v>72</v>
      </c>
      <c r="D104" s="26" t="n">
        <v>480</v>
      </c>
      <c r="E104" s="26" t="n">
        <v>10</v>
      </c>
      <c r="F104" s="26" t="n">
        <v>3647</v>
      </c>
      <c r="G104" s="26" t="n">
        <v>3557</v>
      </c>
      <c r="H104" s="19" t="n">
        <f aca="false">SUMIFS(Paradas!$E$2:$E$1973,Paradas!$A$2:$A$1973,A104,Paradas!$B$2:$B$1973,B104,Paradas!$C$2:$C$1973,C104)</f>
        <v>68</v>
      </c>
      <c r="I104" s="19" t="n">
        <f aca="false">D104-H104</f>
        <v>412</v>
      </c>
      <c r="J104" s="19" t="n">
        <f aca="false">I104*E104</f>
        <v>4120</v>
      </c>
      <c r="K104" s="16" t="n">
        <f aca="false">IF(D104=0,0,I104/D104)</f>
        <v>0.858333333333333</v>
      </c>
      <c r="L104" s="16" t="n">
        <f aca="false">IF(J104=0,0,F104/J104)</f>
        <v>0.885194174757282</v>
      </c>
      <c r="M104" s="16" t="n">
        <f aca="false">IF(F104=0,0,G104/F104)</f>
        <v>0.975322182615849</v>
      </c>
      <c r="N104" s="16" t="n">
        <f aca="false">K104*L104*M104</f>
        <v>0.741041666666667</v>
      </c>
      <c r="O104" s="19" t="n">
        <f aca="false">MONTH(A104)</f>
        <v>7</v>
      </c>
      <c r="P104" s="19" t="n">
        <f aca="false">INT((A104-DATE(2026,7,1))/7)+1</f>
        <v>2</v>
      </c>
    </row>
    <row r="105" customFormat="false" ht="15" hidden="false" customHeight="false" outlineLevel="0" collapsed="false">
      <c r="A105" s="25" t="n">
        <v>46215</v>
      </c>
      <c r="B105" s="26" t="s">
        <v>17</v>
      </c>
      <c r="C105" s="26" t="s">
        <v>73</v>
      </c>
      <c r="D105" s="26" t="n">
        <v>480</v>
      </c>
      <c r="E105" s="26" t="n">
        <v>10</v>
      </c>
      <c r="F105" s="26" t="n">
        <v>3631</v>
      </c>
      <c r="G105" s="26" t="n">
        <v>3387</v>
      </c>
      <c r="H105" s="19" t="n">
        <f aca="false">SUMIFS(Paradas!$E$2:$E$1973,Paradas!$A$2:$A$1973,A105,Paradas!$B$2:$B$1973,B105,Paradas!$C$2:$C$1973,C105)</f>
        <v>73</v>
      </c>
      <c r="I105" s="19" t="n">
        <f aca="false">D105-H105</f>
        <v>407</v>
      </c>
      <c r="J105" s="19" t="n">
        <f aca="false">I105*E105</f>
        <v>4070</v>
      </c>
      <c r="K105" s="16" t="n">
        <f aca="false">IF(D105=0,0,I105/D105)</f>
        <v>0.847916666666667</v>
      </c>
      <c r="L105" s="16" t="n">
        <f aca="false">IF(J105=0,0,F105/J105)</f>
        <v>0.892137592137592</v>
      </c>
      <c r="M105" s="16" t="n">
        <f aca="false">IF(F105=0,0,G105/F105)</f>
        <v>0.932800881299917</v>
      </c>
      <c r="N105" s="16" t="n">
        <f aca="false">K105*L105*M105</f>
        <v>0.705625</v>
      </c>
      <c r="O105" s="19" t="n">
        <f aca="false">MONTH(A105)</f>
        <v>7</v>
      </c>
      <c r="P105" s="19" t="n">
        <f aca="false">INT((A105-DATE(2026,7,1))/7)+1</f>
        <v>2</v>
      </c>
    </row>
    <row r="106" customFormat="false" ht="15" hidden="false" customHeight="false" outlineLevel="0" collapsed="false">
      <c r="A106" s="25" t="n">
        <v>46215</v>
      </c>
      <c r="B106" s="26" t="s">
        <v>17</v>
      </c>
      <c r="C106" s="26" t="s">
        <v>74</v>
      </c>
      <c r="D106" s="26" t="n">
        <v>480</v>
      </c>
      <c r="E106" s="26" t="n">
        <v>10</v>
      </c>
      <c r="F106" s="26" t="n">
        <v>3958</v>
      </c>
      <c r="G106" s="26" t="n">
        <v>3752</v>
      </c>
      <c r="H106" s="19" t="n">
        <f aca="false">SUMIFS(Paradas!$E$2:$E$1973,Paradas!$A$2:$A$1973,A106,Paradas!$B$2:$B$1973,B106,Paradas!$C$2:$C$1973,C106)</f>
        <v>0</v>
      </c>
      <c r="I106" s="19" t="n">
        <f aca="false">D106-H106</f>
        <v>480</v>
      </c>
      <c r="J106" s="19" t="n">
        <f aca="false">I106*E106</f>
        <v>4800</v>
      </c>
      <c r="K106" s="16" t="n">
        <f aca="false">IF(D106=0,0,I106/D106)</f>
        <v>1</v>
      </c>
      <c r="L106" s="16" t="n">
        <f aca="false">IF(J106=0,0,F106/J106)</f>
        <v>0.824583333333333</v>
      </c>
      <c r="M106" s="16" t="n">
        <f aca="false">IF(F106=0,0,G106/F106)</f>
        <v>0.947953511874684</v>
      </c>
      <c r="N106" s="16" t="n">
        <f aca="false">K106*L106*M106</f>
        <v>0.781666666666667</v>
      </c>
      <c r="O106" s="19" t="n">
        <f aca="false">MONTH(A106)</f>
        <v>7</v>
      </c>
      <c r="P106" s="19" t="n">
        <f aca="false">INT((A106-DATE(2026,7,1))/7)+1</f>
        <v>2</v>
      </c>
    </row>
    <row r="107" customFormat="false" ht="15" hidden="false" customHeight="false" outlineLevel="0" collapsed="false">
      <c r="A107" s="25" t="n">
        <v>46215</v>
      </c>
      <c r="B107" s="26" t="s">
        <v>18</v>
      </c>
      <c r="C107" s="26" t="s">
        <v>72</v>
      </c>
      <c r="D107" s="26" t="n">
        <v>480</v>
      </c>
      <c r="E107" s="26" t="n">
        <v>8</v>
      </c>
      <c r="F107" s="26" t="n">
        <v>3493</v>
      </c>
      <c r="G107" s="26" t="n">
        <v>3345</v>
      </c>
      <c r="H107" s="19" t="n">
        <f aca="false">SUMIFS(Paradas!$E$2:$E$1973,Paradas!$A$2:$A$1973,A107,Paradas!$B$2:$B$1973,B107,Paradas!$C$2:$C$1973,C107)</f>
        <v>0</v>
      </c>
      <c r="I107" s="19" t="n">
        <f aca="false">D107-H107</f>
        <v>480</v>
      </c>
      <c r="J107" s="19" t="n">
        <f aca="false">I107*E107</f>
        <v>3840</v>
      </c>
      <c r="K107" s="16" t="n">
        <f aca="false">IF(D107=0,0,I107/D107)</f>
        <v>1</v>
      </c>
      <c r="L107" s="16" t="n">
        <f aca="false">IF(J107=0,0,F107/J107)</f>
        <v>0.909635416666667</v>
      </c>
      <c r="M107" s="16" t="n">
        <f aca="false">IF(F107=0,0,G107/F107)</f>
        <v>0.957629544803894</v>
      </c>
      <c r="N107" s="16" t="n">
        <f aca="false">K107*L107*M107</f>
        <v>0.87109375</v>
      </c>
      <c r="O107" s="19" t="n">
        <f aca="false">MONTH(A107)</f>
        <v>7</v>
      </c>
      <c r="P107" s="19" t="n">
        <f aca="false">INT((A107-DATE(2026,7,1))/7)+1</f>
        <v>2</v>
      </c>
    </row>
    <row r="108" customFormat="false" ht="15" hidden="false" customHeight="false" outlineLevel="0" collapsed="false">
      <c r="A108" s="25" t="n">
        <v>46215</v>
      </c>
      <c r="B108" s="26" t="s">
        <v>18</v>
      </c>
      <c r="C108" s="26" t="s">
        <v>73</v>
      </c>
      <c r="D108" s="26" t="n">
        <v>480</v>
      </c>
      <c r="E108" s="26" t="n">
        <v>8</v>
      </c>
      <c r="F108" s="26" t="n">
        <v>3313</v>
      </c>
      <c r="G108" s="26" t="n">
        <v>3153</v>
      </c>
      <c r="H108" s="19" t="n">
        <f aca="false">SUMIFS(Paradas!$E$2:$E$1973,Paradas!$A$2:$A$1973,A108,Paradas!$B$2:$B$1973,B108,Paradas!$C$2:$C$1973,C108)</f>
        <v>0</v>
      </c>
      <c r="I108" s="19" t="n">
        <f aca="false">D108-H108</f>
        <v>480</v>
      </c>
      <c r="J108" s="19" t="n">
        <f aca="false">I108*E108</f>
        <v>3840</v>
      </c>
      <c r="K108" s="16" t="n">
        <f aca="false">IF(D108=0,0,I108/D108)</f>
        <v>1</v>
      </c>
      <c r="L108" s="16" t="n">
        <f aca="false">IF(J108=0,0,F108/J108)</f>
        <v>0.862760416666667</v>
      </c>
      <c r="M108" s="16" t="n">
        <f aca="false">IF(F108=0,0,G108/F108)</f>
        <v>0.951705402958044</v>
      </c>
      <c r="N108" s="16" t="n">
        <f aca="false">K108*L108*M108</f>
        <v>0.82109375</v>
      </c>
      <c r="O108" s="19" t="n">
        <f aca="false">MONTH(A108)</f>
        <v>7</v>
      </c>
      <c r="P108" s="19" t="n">
        <f aca="false">INT((A108-DATE(2026,7,1))/7)+1</f>
        <v>2</v>
      </c>
    </row>
    <row r="109" customFormat="false" ht="15" hidden="false" customHeight="false" outlineLevel="0" collapsed="false">
      <c r="A109" s="25" t="n">
        <v>46215</v>
      </c>
      <c r="B109" s="26" t="s">
        <v>18</v>
      </c>
      <c r="C109" s="26" t="s">
        <v>74</v>
      </c>
      <c r="D109" s="26" t="n">
        <v>480</v>
      </c>
      <c r="E109" s="26" t="n">
        <v>8</v>
      </c>
      <c r="F109" s="26" t="n">
        <v>2829</v>
      </c>
      <c r="G109" s="26" t="n">
        <v>2758</v>
      </c>
      <c r="H109" s="19" t="n">
        <f aca="false">SUMIFS(Paradas!$E$2:$E$1973,Paradas!$A$2:$A$1973,A109,Paradas!$B$2:$B$1973,B109,Paradas!$C$2:$C$1973,C109)</f>
        <v>39</v>
      </c>
      <c r="I109" s="19" t="n">
        <f aca="false">D109-H109</f>
        <v>441</v>
      </c>
      <c r="J109" s="19" t="n">
        <f aca="false">I109*E109</f>
        <v>3528</v>
      </c>
      <c r="K109" s="16" t="n">
        <f aca="false">IF(D109=0,0,I109/D109)</f>
        <v>0.91875</v>
      </c>
      <c r="L109" s="16" t="n">
        <f aca="false">IF(J109=0,0,F109/J109)</f>
        <v>0.80187074829932</v>
      </c>
      <c r="M109" s="16" t="n">
        <f aca="false">IF(F109=0,0,G109/F109)</f>
        <v>0.974902792506186</v>
      </c>
      <c r="N109" s="16" t="n">
        <f aca="false">K109*L109*M109</f>
        <v>0.718229166666667</v>
      </c>
      <c r="O109" s="19" t="n">
        <f aca="false">MONTH(A109)</f>
        <v>7</v>
      </c>
      <c r="P109" s="19" t="n">
        <f aca="false">INT((A109-DATE(2026,7,1))/7)+1</f>
        <v>2</v>
      </c>
    </row>
    <row r="110" customFormat="false" ht="15" hidden="false" customHeight="false" outlineLevel="0" collapsed="false">
      <c r="A110" s="25" t="n">
        <v>46216</v>
      </c>
      <c r="B110" s="26" t="s">
        <v>16</v>
      </c>
      <c r="C110" s="26" t="s">
        <v>72</v>
      </c>
      <c r="D110" s="26" t="n">
        <v>480</v>
      </c>
      <c r="E110" s="26" t="n">
        <v>12</v>
      </c>
      <c r="F110" s="26" t="n">
        <v>3925</v>
      </c>
      <c r="G110" s="26" t="n">
        <v>3907</v>
      </c>
      <c r="H110" s="19" t="n">
        <f aca="false">SUMIFS(Paradas!$E$2:$E$1973,Paradas!$A$2:$A$1973,A110,Paradas!$B$2:$B$1973,B110,Paradas!$C$2:$C$1973,C110)</f>
        <v>116</v>
      </c>
      <c r="I110" s="19" t="n">
        <f aca="false">D110-H110</f>
        <v>364</v>
      </c>
      <c r="J110" s="19" t="n">
        <f aca="false">I110*E110</f>
        <v>4368</v>
      </c>
      <c r="K110" s="16" t="n">
        <f aca="false">IF(D110=0,0,I110/D110)</f>
        <v>0.758333333333333</v>
      </c>
      <c r="L110" s="16" t="n">
        <f aca="false">IF(J110=0,0,F110/J110)</f>
        <v>0.898580586080586</v>
      </c>
      <c r="M110" s="16" t="n">
        <f aca="false">IF(F110=0,0,G110/F110)</f>
        <v>0.995414012738854</v>
      </c>
      <c r="N110" s="16" t="n">
        <f aca="false">K110*L110*M110</f>
        <v>0.678298611111111</v>
      </c>
      <c r="O110" s="19" t="n">
        <f aca="false">MONTH(A110)</f>
        <v>7</v>
      </c>
      <c r="P110" s="19" t="n">
        <f aca="false">INT((A110-DATE(2026,7,1))/7)+1</f>
        <v>2</v>
      </c>
    </row>
    <row r="111" customFormat="false" ht="15" hidden="false" customHeight="false" outlineLevel="0" collapsed="false">
      <c r="A111" s="25" t="n">
        <v>46216</v>
      </c>
      <c r="B111" s="26" t="s">
        <v>16</v>
      </c>
      <c r="C111" s="26" t="s">
        <v>73</v>
      </c>
      <c r="D111" s="26" t="n">
        <v>480</v>
      </c>
      <c r="E111" s="26" t="n">
        <v>12</v>
      </c>
      <c r="F111" s="26" t="n">
        <v>4872</v>
      </c>
      <c r="G111" s="26" t="n">
        <v>4862</v>
      </c>
      <c r="H111" s="19" t="n">
        <f aca="false">SUMIFS(Paradas!$E$2:$E$1973,Paradas!$A$2:$A$1973,A111,Paradas!$B$2:$B$1973,B111,Paradas!$C$2:$C$1973,C111)</f>
        <v>31</v>
      </c>
      <c r="I111" s="19" t="n">
        <f aca="false">D111-H111</f>
        <v>449</v>
      </c>
      <c r="J111" s="19" t="n">
        <f aca="false">I111*E111</f>
        <v>5388</v>
      </c>
      <c r="K111" s="16" t="n">
        <f aca="false">IF(D111=0,0,I111/D111)</f>
        <v>0.935416666666667</v>
      </c>
      <c r="L111" s="16" t="n">
        <f aca="false">IF(J111=0,0,F111/J111)</f>
        <v>0.904231625835189</v>
      </c>
      <c r="M111" s="16" t="n">
        <f aca="false">IF(F111=0,0,G111/F111)</f>
        <v>0.997947454844007</v>
      </c>
      <c r="N111" s="16" t="n">
        <f aca="false">K111*L111*M111</f>
        <v>0.844097222222222</v>
      </c>
      <c r="O111" s="19" t="n">
        <f aca="false">MONTH(A111)</f>
        <v>7</v>
      </c>
      <c r="P111" s="19" t="n">
        <f aca="false">INT((A111-DATE(2026,7,1))/7)+1</f>
        <v>2</v>
      </c>
    </row>
    <row r="112" customFormat="false" ht="15" hidden="false" customHeight="false" outlineLevel="0" collapsed="false">
      <c r="A112" s="25" t="n">
        <v>46216</v>
      </c>
      <c r="B112" s="26" t="s">
        <v>16</v>
      </c>
      <c r="C112" s="26" t="s">
        <v>74</v>
      </c>
      <c r="D112" s="26" t="n">
        <v>480</v>
      </c>
      <c r="E112" s="26" t="n">
        <v>12</v>
      </c>
      <c r="F112" s="26" t="n">
        <v>4292</v>
      </c>
      <c r="G112" s="26" t="n">
        <v>4235</v>
      </c>
      <c r="H112" s="19" t="n">
        <f aca="false">SUMIFS(Paradas!$E$2:$E$1973,Paradas!$A$2:$A$1973,A112,Paradas!$B$2:$B$1973,B112,Paradas!$C$2:$C$1973,C112)</f>
        <v>74</v>
      </c>
      <c r="I112" s="19" t="n">
        <f aca="false">D112-H112</f>
        <v>406</v>
      </c>
      <c r="J112" s="19" t="n">
        <f aca="false">I112*E112</f>
        <v>4872</v>
      </c>
      <c r="K112" s="16" t="n">
        <f aca="false">IF(D112=0,0,I112/D112)</f>
        <v>0.845833333333333</v>
      </c>
      <c r="L112" s="16" t="n">
        <f aca="false">IF(J112=0,0,F112/J112)</f>
        <v>0.880952380952381</v>
      </c>
      <c r="M112" s="16" t="n">
        <f aca="false">IF(F112=0,0,G112/F112)</f>
        <v>0.986719478098789</v>
      </c>
      <c r="N112" s="16" t="n">
        <f aca="false">K112*L112*M112</f>
        <v>0.735243055555556</v>
      </c>
      <c r="O112" s="19" t="n">
        <f aca="false">MONTH(A112)</f>
        <v>7</v>
      </c>
      <c r="P112" s="19" t="n">
        <f aca="false">INT((A112-DATE(2026,7,1))/7)+1</f>
        <v>2</v>
      </c>
    </row>
    <row r="113" customFormat="false" ht="15" hidden="false" customHeight="false" outlineLevel="0" collapsed="false">
      <c r="A113" s="25" t="n">
        <v>46216</v>
      </c>
      <c r="B113" s="26" t="s">
        <v>17</v>
      </c>
      <c r="C113" s="26" t="s">
        <v>72</v>
      </c>
      <c r="D113" s="26" t="n">
        <v>480</v>
      </c>
      <c r="E113" s="26" t="n">
        <v>10</v>
      </c>
      <c r="F113" s="26" t="n">
        <v>4132</v>
      </c>
      <c r="G113" s="26" t="n">
        <v>3882</v>
      </c>
      <c r="H113" s="19" t="n">
        <f aca="false">SUMIFS(Paradas!$E$2:$E$1973,Paradas!$A$2:$A$1973,A113,Paradas!$B$2:$B$1973,B113,Paradas!$C$2:$C$1973,C113)</f>
        <v>0</v>
      </c>
      <c r="I113" s="19" t="n">
        <f aca="false">D113-H113</f>
        <v>480</v>
      </c>
      <c r="J113" s="19" t="n">
        <f aca="false">I113*E113</f>
        <v>4800</v>
      </c>
      <c r="K113" s="16" t="n">
        <f aca="false">IF(D113=0,0,I113/D113)</f>
        <v>1</v>
      </c>
      <c r="L113" s="16" t="n">
        <f aca="false">IF(J113=0,0,F113/J113)</f>
        <v>0.860833333333333</v>
      </c>
      <c r="M113" s="16" t="n">
        <f aca="false">IF(F113=0,0,G113/F113)</f>
        <v>0.939496611810261</v>
      </c>
      <c r="N113" s="16" t="n">
        <f aca="false">K113*L113*M113</f>
        <v>0.80875</v>
      </c>
      <c r="O113" s="19" t="n">
        <f aca="false">MONTH(A113)</f>
        <v>7</v>
      </c>
      <c r="P113" s="19" t="n">
        <f aca="false">INT((A113-DATE(2026,7,1))/7)+1</f>
        <v>2</v>
      </c>
    </row>
    <row r="114" customFormat="false" ht="15" hidden="false" customHeight="false" outlineLevel="0" collapsed="false">
      <c r="A114" s="25" t="n">
        <v>46216</v>
      </c>
      <c r="B114" s="26" t="s">
        <v>17</v>
      </c>
      <c r="C114" s="26" t="s">
        <v>73</v>
      </c>
      <c r="D114" s="26" t="n">
        <v>480</v>
      </c>
      <c r="E114" s="26" t="n">
        <v>10</v>
      </c>
      <c r="F114" s="26" t="n">
        <v>4162</v>
      </c>
      <c r="G114" s="26" t="n">
        <v>4052</v>
      </c>
      <c r="H114" s="19" t="n">
        <f aca="false">SUMIFS(Paradas!$E$2:$E$1973,Paradas!$A$2:$A$1973,A114,Paradas!$B$2:$B$1973,B114,Paradas!$C$2:$C$1973,C114)</f>
        <v>26</v>
      </c>
      <c r="I114" s="19" t="n">
        <f aca="false">D114-H114</f>
        <v>454</v>
      </c>
      <c r="J114" s="19" t="n">
        <f aca="false">I114*E114</f>
        <v>4540</v>
      </c>
      <c r="K114" s="16" t="n">
        <f aca="false">IF(D114=0,0,I114/D114)</f>
        <v>0.945833333333333</v>
      </c>
      <c r="L114" s="16" t="n">
        <f aca="false">IF(J114=0,0,F114/J114)</f>
        <v>0.916740088105727</v>
      </c>
      <c r="M114" s="16" t="n">
        <f aca="false">IF(F114=0,0,G114/F114)</f>
        <v>0.973570398846708</v>
      </c>
      <c r="N114" s="16" t="n">
        <f aca="false">K114*L114*M114</f>
        <v>0.844166666666667</v>
      </c>
      <c r="O114" s="19" t="n">
        <f aca="false">MONTH(A114)</f>
        <v>7</v>
      </c>
      <c r="P114" s="19" t="n">
        <f aca="false">INT((A114-DATE(2026,7,1))/7)+1</f>
        <v>2</v>
      </c>
    </row>
    <row r="115" customFormat="false" ht="15" hidden="false" customHeight="false" outlineLevel="0" collapsed="false">
      <c r="A115" s="25" t="n">
        <v>46216</v>
      </c>
      <c r="B115" s="26" t="s">
        <v>17</v>
      </c>
      <c r="C115" s="26" t="s">
        <v>74</v>
      </c>
      <c r="D115" s="26" t="n">
        <v>480</v>
      </c>
      <c r="E115" s="26" t="n">
        <v>10</v>
      </c>
      <c r="F115" s="26" t="n">
        <v>2704</v>
      </c>
      <c r="G115" s="26" t="n">
        <v>2590</v>
      </c>
      <c r="H115" s="19" t="n">
        <f aca="false">SUMIFS(Paradas!$E$2:$E$1973,Paradas!$A$2:$A$1973,A115,Paradas!$B$2:$B$1973,B115,Paradas!$C$2:$C$1973,C115)</f>
        <v>164</v>
      </c>
      <c r="I115" s="19" t="n">
        <f aca="false">D115-H115</f>
        <v>316</v>
      </c>
      <c r="J115" s="19" t="n">
        <f aca="false">I115*E115</f>
        <v>3160</v>
      </c>
      <c r="K115" s="16" t="n">
        <f aca="false">IF(D115=0,0,I115/D115)</f>
        <v>0.658333333333333</v>
      </c>
      <c r="L115" s="16" t="n">
        <f aca="false">IF(J115=0,0,F115/J115)</f>
        <v>0.855696202531646</v>
      </c>
      <c r="M115" s="16" t="n">
        <f aca="false">IF(F115=0,0,G115/F115)</f>
        <v>0.957840236686391</v>
      </c>
      <c r="N115" s="16" t="n">
        <f aca="false">K115*L115*M115</f>
        <v>0.539583333333333</v>
      </c>
      <c r="O115" s="19" t="n">
        <f aca="false">MONTH(A115)</f>
        <v>7</v>
      </c>
      <c r="P115" s="19" t="n">
        <f aca="false">INT((A115-DATE(2026,7,1))/7)+1</f>
        <v>2</v>
      </c>
    </row>
    <row r="116" customFormat="false" ht="15" hidden="false" customHeight="false" outlineLevel="0" collapsed="false">
      <c r="A116" s="25" t="n">
        <v>46216</v>
      </c>
      <c r="B116" s="26" t="s">
        <v>18</v>
      </c>
      <c r="C116" s="26" t="s">
        <v>72</v>
      </c>
      <c r="D116" s="26" t="n">
        <v>480</v>
      </c>
      <c r="E116" s="26" t="n">
        <v>8</v>
      </c>
      <c r="F116" s="26" t="n">
        <v>3115</v>
      </c>
      <c r="G116" s="26" t="n">
        <v>3032</v>
      </c>
      <c r="H116" s="19" t="n">
        <f aca="false">SUMIFS(Paradas!$E$2:$E$1973,Paradas!$A$2:$A$1973,A116,Paradas!$B$2:$B$1973,B116,Paradas!$C$2:$C$1973,C116)</f>
        <v>35</v>
      </c>
      <c r="I116" s="19" t="n">
        <f aca="false">D116-H116</f>
        <v>445</v>
      </c>
      <c r="J116" s="19" t="n">
        <f aca="false">I116*E116</f>
        <v>3560</v>
      </c>
      <c r="K116" s="16" t="n">
        <f aca="false">IF(D116=0,0,I116/D116)</f>
        <v>0.927083333333333</v>
      </c>
      <c r="L116" s="16" t="n">
        <f aca="false">IF(J116=0,0,F116/J116)</f>
        <v>0.875</v>
      </c>
      <c r="M116" s="16" t="n">
        <f aca="false">IF(F116=0,0,G116/F116)</f>
        <v>0.973354735152488</v>
      </c>
      <c r="N116" s="16" t="n">
        <f aca="false">K116*L116*M116</f>
        <v>0.789583333333333</v>
      </c>
      <c r="O116" s="19" t="n">
        <f aca="false">MONTH(A116)</f>
        <v>7</v>
      </c>
      <c r="P116" s="19" t="n">
        <f aca="false">INT((A116-DATE(2026,7,1))/7)+1</f>
        <v>2</v>
      </c>
    </row>
    <row r="117" customFormat="false" ht="15" hidden="false" customHeight="false" outlineLevel="0" collapsed="false">
      <c r="A117" s="25" t="n">
        <v>46216</v>
      </c>
      <c r="B117" s="26" t="s">
        <v>18</v>
      </c>
      <c r="C117" s="26" t="s">
        <v>73</v>
      </c>
      <c r="D117" s="26" t="n">
        <v>480</v>
      </c>
      <c r="E117" s="26" t="n">
        <v>8</v>
      </c>
      <c r="F117" s="26" t="n">
        <v>2840</v>
      </c>
      <c r="G117" s="26" t="n">
        <v>2719</v>
      </c>
      <c r="H117" s="19" t="n">
        <f aca="false">SUMIFS(Paradas!$E$2:$E$1973,Paradas!$A$2:$A$1973,A117,Paradas!$B$2:$B$1973,B117,Paradas!$C$2:$C$1973,C117)</f>
        <v>118</v>
      </c>
      <c r="I117" s="19" t="n">
        <f aca="false">D117-H117</f>
        <v>362</v>
      </c>
      <c r="J117" s="19" t="n">
        <f aca="false">I117*E117</f>
        <v>2896</v>
      </c>
      <c r="K117" s="16" t="n">
        <f aca="false">IF(D117=0,0,I117/D117)</f>
        <v>0.754166666666667</v>
      </c>
      <c r="L117" s="16" t="n">
        <f aca="false">IF(J117=0,0,F117/J117)</f>
        <v>0.980662983425414</v>
      </c>
      <c r="M117" s="16" t="n">
        <f aca="false">IF(F117=0,0,G117/F117)</f>
        <v>0.957394366197183</v>
      </c>
      <c r="N117" s="16" t="n">
        <f aca="false">K117*L117*M117</f>
        <v>0.708072916666667</v>
      </c>
      <c r="O117" s="19" t="n">
        <f aca="false">MONTH(A117)</f>
        <v>7</v>
      </c>
      <c r="P117" s="19" t="n">
        <f aca="false">INT((A117-DATE(2026,7,1))/7)+1</f>
        <v>2</v>
      </c>
    </row>
    <row r="118" customFormat="false" ht="15" hidden="false" customHeight="false" outlineLevel="0" collapsed="false">
      <c r="A118" s="25" t="n">
        <v>46216</v>
      </c>
      <c r="B118" s="26" t="s">
        <v>18</v>
      </c>
      <c r="C118" s="26" t="s">
        <v>74</v>
      </c>
      <c r="D118" s="26" t="n">
        <v>480</v>
      </c>
      <c r="E118" s="26" t="n">
        <v>8</v>
      </c>
      <c r="F118" s="26" t="n">
        <v>3074</v>
      </c>
      <c r="G118" s="26" t="n">
        <v>2982</v>
      </c>
      <c r="H118" s="19" t="n">
        <f aca="false">SUMIFS(Paradas!$E$2:$E$1973,Paradas!$A$2:$A$1973,A118,Paradas!$B$2:$B$1973,B118,Paradas!$C$2:$C$1973,C118)</f>
        <v>32</v>
      </c>
      <c r="I118" s="19" t="n">
        <f aca="false">D118-H118</f>
        <v>448</v>
      </c>
      <c r="J118" s="19" t="n">
        <f aca="false">I118*E118</f>
        <v>3584</v>
      </c>
      <c r="K118" s="16" t="n">
        <f aca="false">IF(D118=0,0,I118/D118)</f>
        <v>0.933333333333333</v>
      </c>
      <c r="L118" s="16" t="n">
        <f aca="false">IF(J118=0,0,F118/J118)</f>
        <v>0.857700892857143</v>
      </c>
      <c r="M118" s="16" t="n">
        <f aca="false">IF(F118=0,0,G118/F118)</f>
        <v>0.97007156798959</v>
      </c>
      <c r="N118" s="16" t="n">
        <f aca="false">K118*L118*M118</f>
        <v>0.7765625</v>
      </c>
      <c r="O118" s="19" t="n">
        <f aca="false">MONTH(A118)</f>
        <v>7</v>
      </c>
      <c r="P118" s="19" t="n">
        <f aca="false">INT((A118-DATE(2026,7,1))/7)+1</f>
        <v>2</v>
      </c>
    </row>
    <row r="119" customFormat="false" ht="15" hidden="false" customHeight="false" outlineLevel="0" collapsed="false">
      <c r="A119" s="25" t="n">
        <v>46217</v>
      </c>
      <c r="B119" s="26" t="s">
        <v>16</v>
      </c>
      <c r="C119" s="26" t="s">
        <v>72</v>
      </c>
      <c r="D119" s="26" t="n">
        <v>480</v>
      </c>
      <c r="E119" s="26" t="n">
        <v>12</v>
      </c>
      <c r="F119" s="26" t="n">
        <v>4827</v>
      </c>
      <c r="G119" s="26" t="n">
        <v>4700</v>
      </c>
      <c r="H119" s="19" t="n">
        <f aca="false">SUMIFS(Paradas!$E$2:$E$1973,Paradas!$A$2:$A$1973,A119,Paradas!$B$2:$B$1973,B119,Paradas!$C$2:$C$1973,C119)</f>
        <v>26</v>
      </c>
      <c r="I119" s="19" t="n">
        <f aca="false">D119-H119</f>
        <v>454</v>
      </c>
      <c r="J119" s="19" t="n">
        <f aca="false">I119*E119</f>
        <v>5448</v>
      </c>
      <c r="K119" s="16" t="n">
        <f aca="false">IF(D119=0,0,I119/D119)</f>
        <v>0.945833333333333</v>
      </c>
      <c r="L119" s="16" t="n">
        <f aca="false">IF(J119=0,0,F119/J119)</f>
        <v>0.886013215859031</v>
      </c>
      <c r="M119" s="16" t="n">
        <f aca="false">IF(F119=0,0,G119/F119)</f>
        <v>0.973689662316138</v>
      </c>
      <c r="N119" s="16" t="n">
        <f aca="false">K119*L119*M119</f>
        <v>0.815972222222222</v>
      </c>
      <c r="O119" s="19" t="n">
        <f aca="false">MONTH(A119)</f>
        <v>7</v>
      </c>
      <c r="P119" s="19" t="n">
        <f aca="false">INT((A119-DATE(2026,7,1))/7)+1</f>
        <v>2</v>
      </c>
    </row>
    <row r="120" customFormat="false" ht="15" hidden="false" customHeight="false" outlineLevel="0" collapsed="false">
      <c r="A120" s="25" t="n">
        <v>46217</v>
      </c>
      <c r="B120" s="26" t="s">
        <v>16</v>
      </c>
      <c r="C120" s="26" t="s">
        <v>73</v>
      </c>
      <c r="D120" s="26" t="n">
        <v>480</v>
      </c>
      <c r="E120" s="26" t="n">
        <v>12</v>
      </c>
      <c r="F120" s="26" t="n">
        <v>3905</v>
      </c>
      <c r="G120" s="26" t="n">
        <v>3849</v>
      </c>
      <c r="H120" s="19" t="n">
        <f aca="false">SUMIFS(Paradas!$E$2:$E$1973,Paradas!$A$2:$A$1973,A120,Paradas!$B$2:$B$1973,B120,Paradas!$C$2:$C$1973,C120)</f>
        <v>114</v>
      </c>
      <c r="I120" s="19" t="n">
        <f aca="false">D120-H120</f>
        <v>366</v>
      </c>
      <c r="J120" s="19" t="n">
        <f aca="false">I120*E120</f>
        <v>4392</v>
      </c>
      <c r="K120" s="16" t="n">
        <f aca="false">IF(D120=0,0,I120/D120)</f>
        <v>0.7625</v>
      </c>
      <c r="L120" s="16" t="n">
        <f aca="false">IF(J120=0,0,F120/J120)</f>
        <v>0.889116575591985</v>
      </c>
      <c r="M120" s="16" t="n">
        <f aca="false">IF(F120=0,0,G120/F120)</f>
        <v>0.985659411011524</v>
      </c>
      <c r="N120" s="16" t="n">
        <f aca="false">K120*L120*M120</f>
        <v>0.668229166666667</v>
      </c>
      <c r="O120" s="19" t="n">
        <f aca="false">MONTH(A120)</f>
        <v>7</v>
      </c>
      <c r="P120" s="19" t="n">
        <f aca="false">INT((A120-DATE(2026,7,1))/7)+1</f>
        <v>2</v>
      </c>
    </row>
    <row r="121" customFormat="false" ht="15" hidden="false" customHeight="false" outlineLevel="0" collapsed="false">
      <c r="A121" s="25" t="n">
        <v>46217</v>
      </c>
      <c r="B121" s="26" t="s">
        <v>16</v>
      </c>
      <c r="C121" s="26" t="s">
        <v>74</v>
      </c>
      <c r="D121" s="26" t="n">
        <v>480</v>
      </c>
      <c r="E121" s="26" t="n">
        <v>12</v>
      </c>
      <c r="F121" s="26" t="n">
        <v>5166</v>
      </c>
      <c r="G121" s="26" t="n">
        <v>5054</v>
      </c>
      <c r="H121" s="19" t="n">
        <f aca="false">SUMIFS(Paradas!$E$2:$E$1973,Paradas!$A$2:$A$1973,A121,Paradas!$B$2:$B$1973,B121,Paradas!$C$2:$C$1973,C121)</f>
        <v>0</v>
      </c>
      <c r="I121" s="19" t="n">
        <f aca="false">D121-H121</f>
        <v>480</v>
      </c>
      <c r="J121" s="19" t="n">
        <f aca="false">I121*E121</f>
        <v>5760</v>
      </c>
      <c r="K121" s="16" t="n">
        <f aca="false">IF(D121=0,0,I121/D121)</f>
        <v>1</v>
      </c>
      <c r="L121" s="16" t="n">
        <f aca="false">IF(J121=0,0,F121/J121)</f>
        <v>0.896875</v>
      </c>
      <c r="M121" s="16" t="n">
        <f aca="false">IF(F121=0,0,G121/F121)</f>
        <v>0.978319783197832</v>
      </c>
      <c r="N121" s="16" t="n">
        <f aca="false">K121*L121*M121</f>
        <v>0.877430555555556</v>
      </c>
      <c r="O121" s="19" t="n">
        <f aca="false">MONTH(A121)</f>
        <v>7</v>
      </c>
      <c r="P121" s="19" t="n">
        <f aca="false">INT((A121-DATE(2026,7,1))/7)+1</f>
        <v>2</v>
      </c>
    </row>
    <row r="122" customFormat="false" ht="15" hidden="false" customHeight="false" outlineLevel="0" collapsed="false">
      <c r="A122" s="25" t="n">
        <v>46217</v>
      </c>
      <c r="B122" s="26" t="s">
        <v>17</v>
      </c>
      <c r="C122" s="26" t="s">
        <v>72</v>
      </c>
      <c r="D122" s="26" t="n">
        <v>480</v>
      </c>
      <c r="E122" s="26" t="n">
        <v>10</v>
      </c>
      <c r="F122" s="26" t="n">
        <v>3954</v>
      </c>
      <c r="G122" s="26" t="n">
        <v>3821</v>
      </c>
      <c r="H122" s="19" t="n">
        <f aca="false">SUMIFS(Paradas!$E$2:$E$1973,Paradas!$A$2:$A$1973,A122,Paradas!$B$2:$B$1973,B122,Paradas!$C$2:$C$1973,C122)</f>
        <v>28</v>
      </c>
      <c r="I122" s="19" t="n">
        <f aca="false">D122-H122</f>
        <v>452</v>
      </c>
      <c r="J122" s="19" t="n">
        <f aca="false">I122*E122</f>
        <v>4520</v>
      </c>
      <c r="K122" s="16" t="n">
        <f aca="false">IF(D122=0,0,I122/D122)</f>
        <v>0.941666666666667</v>
      </c>
      <c r="L122" s="16" t="n">
        <f aca="false">IF(J122=0,0,F122/J122)</f>
        <v>0.874778761061947</v>
      </c>
      <c r="M122" s="16" t="n">
        <f aca="false">IF(F122=0,0,G122/F122)</f>
        <v>0.966363176530096</v>
      </c>
      <c r="N122" s="16" t="n">
        <f aca="false">K122*L122*M122</f>
        <v>0.796041666666667</v>
      </c>
      <c r="O122" s="19" t="n">
        <f aca="false">MONTH(A122)</f>
        <v>7</v>
      </c>
      <c r="P122" s="19" t="n">
        <f aca="false">INT((A122-DATE(2026,7,1))/7)+1</f>
        <v>2</v>
      </c>
    </row>
    <row r="123" customFormat="false" ht="15" hidden="false" customHeight="false" outlineLevel="0" collapsed="false">
      <c r="A123" s="25" t="n">
        <v>46217</v>
      </c>
      <c r="B123" s="26" t="s">
        <v>17</v>
      </c>
      <c r="C123" s="26" t="s">
        <v>73</v>
      </c>
      <c r="D123" s="26" t="n">
        <v>480</v>
      </c>
      <c r="E123" s="26" t="n">
        <v>10</v>
      </c>
      <c r="F123" s="26" t="n">
        <v>2319</v>
      </c>
      <c r="G123" s="26" t="n">
        <v>2190</v>
      </c>
      <c r="H123" s="19" t="n">
        <f aca="false">SUMIFS(Paradas!$E$2:$E$1973,Paradas!$A$2:$A$1973,A123,Paradas!$B$2:$B$1973,B123,Paradas!$C$2:$C$1973,C123)</f>
        <v>216</v>
      </c>
      <c r="I123" s="19" t="n">
        <f aca="false">D123-H123</f>
        <v>264</v>
      </c>
      <c r="J123" s="19" t="n">
        <f aca="false">I123*E123</f>
        <v>2640</v>
      </c>
      <c r="K123" s="16" t="n">
        <f aca="false">IF(D123=0,0,I123/D123)</f>
        <v>0.55</v>
      </c>
      <c r="L123" s="16" t="n">
        <f aca="false">IF(J123=0,0,F123/J123)</f>
        <v>0.878409090909091</v>
      </c>
      <c r="M123" s="16" t="n">
        <f aca="false">IF(F123=0,0,G123/F123)</f>
        <v>0.944372574385511</v>
      </c>
      <c r="N123" s="16" t="n">
        <f aca="false">K123*L123*M123</f>
        <v>0.45625</v>
      </c>
      <c r="O123" s="19" t="n">
        <f aca="false">MONTH(A123)</f>
        <v>7</v>
      </c>
      <c r="P123" s="19" t="n">
        <f aca="false">INT((A123-DATE(2026,7,1))/7)+1</f>
        <v>2</v>
      </c>
    </row>
    <row r="124" customFormat="false" ht="15" hidden="false" customHeight="false" outlineLevel="0" collapsed="false">
      <c r="A124" s="25" t="n">
        <v>46217</v>
      </c>
      <c r="B124" s="26" t="s">
        <v>17</v>
      </c>
      <c r="C124" s="26" t="s">
        <v>74</v>
      </c>
      <c r="D124" s="26" t="n">
        <v>480</v>
      </c>
      <c r="E124" s="26" t="n">
        <v>10</v>
      </c>
      <c r="F124" s="26" t="n">
        <v>3166</v>
      </c>
      <c r="G124" s="26" t="n">
        <v>3020</v>
      </c>
      <c r="H124" s="19" t="n">
        <f aca="false">SUMIFS(Paradas!$E$2:$E$1973,Paradas!$A$2:$A$1973,A124,Paradas!$B$2:$B$1973,B124,Paradas!$C$2:$C$1973,C124)</f>
        <v>94</v>
      </c>
      <c r="I124" s="19" t="n">
        <f aca="false">D124-H124</f>
        <v>386</v>
      </c>
      <c r="J124" s="19" t="n">
        <f aca="false">I124*E124</f>
        <v>3860</v>
      </c>
      <c r="K124" s="16" t="n">
        <f aca="false">IF(D124=0,0,I124/D124)</f>
        <v>0.804166666666667</v>
      </c>
      <c r="L124" s="16" t="n">
        <f aca="false">IF(J124=0,0,F124/J124)</f>
        <v>0.82020725388601</v>
      </c>
      <c r="M124" s="16" t="n">
        <f aca="false">IF(F124=0,0,G124/F124)</f>
        <v>0.953885028427037</v>
      </c>
      <c r="N124" s="16" t="n">
        <f aca="false">K124*L124*M124</f>
        <v>0.629166666666667</v>
      </c>
      <c r="O124" s="19" t="n">
        <f aca="false">MONTH(A124)</f>
        <v>7</v>
      </c>
      <c r="P124" s="19" t="n">
        <f aca="false">INT((A124-DATE(2026,7,1))/7)+1</f>
        <v>2</v>
      </c>
    </row>
    <row r="125" customFormat="false" ht="15" hidden="false" customHeight="false" outlineLevel="0" collapsed="false">
      <c r="A125" s="25" t="n">
        <v>46217</v>
      </c>
      <c r="B125" s="26" t="s">
        <v>18</v>
      </c>
      <c r="C125" s="26" t="s">
        <v>72</v>
      </c>
      <c r="D125" s="26" t="n">
        <v>480</v>
      </c>
      <c r="E125" s="26" t="n">
        <v>8</v>
      </c>
      <c r="F125" s="26" t="n">
        <v>3087</v>
      </c>
      <c r="G125" s="26" t="n">
        <v>3002</v>
      </c>
      <c r="H125" s="19" t="n">
        <f aca="false">SUMIFS(Paradas!$E$2:$E$1973,Paradas!$A$2:$A$1973,A125,Paradas!$B$2:$B$1973,B125,Paradas!$C$2:$C$1973,C125)</f>
        <v>45</v>
      </c>
      <c r="I125" s="19" t="n">
        <f aca="false">D125-H125</f>
        <v>435</v>
      </c>
      <c r="J125" s="19" t="n">
        <f aca="false">I125*E125</f>
        <v>3480</v>
      </c>
      <c r="K125" s="16" t="n">
        <f aca="false">IF(D125=0,0,I125/D125)</f>
        <v>0.90625</v>
      </c>
      <c r="L125" s="16" t="n">
        <f aca="false">IF(J125=0,0,F125/J125)</f>
        <v>0.887068965517241</v>
      </c>
      <c r="M125" s="16" t="n">
        <f aca="false">IF(F125=0,0,G125/F125)</f>
        <v>0.972465176546809</v>
      </c>
      <c r="N125" s="16" t="n">
        <f aca="false">K125*L125*M125</f>
        <v>0.781770833333333</v>
      </c>
      <c r="O125" s="19" t="n">
        <f aca="false">MONTH(A125)</f>
        <v>7</v>
      </c>
      <c r="P125" s="19" t="n">
        <f aca="false">INT((A125-DATE(2026,7,1))/7)+1</f>
        <v>2</v>
      </c>
    </row>
    <row r="126" customFormat="false" ht="15" hidden="false" customHeight="false" outlineLevel="0" collapsed="false">
      <c r="A126" s="25" t="n">
        <v>46217</v>
      </c>
      <c r="B126" s="26" t="s">
        <v>18</v>
      </c>
      <c r="C126" s="26" t="s">
        <v>73</v>
      </c>
      <c r="D126" s="26" t="n">
        <v>480</v>
      </c>
      <c r="E126" s="26" t="n">
        <v>8</v>
      </c>
      <c r="F126" s="26" t="n">
        <v>2413</v>
      </c>
      <c r="G126" s="26" t="n">
        <v>2344</v>
      </c>
      <c r="H126" s="19" t="n">
        <f aca="false">SUMIFS(Paradas!$E$2:$E$1973,Paradas!$A$2:$A$1973,A126,Paradas!$B$2:$B$1973,B126,Paradas!$C$2:$C$1973,C126)</f>
        <v>134</v>
      </c>
      <c r="I126" s="19" t="n">
        <f aca="false">D126-H126</f>
        <v>346</v>
      </c>
      <c r="J126" s="19" t="n">
        <f aca="false">I126*E126</f>
        <v>2768</v>
      </c>
      <c r="K126" s="16" t="n">
        <f aca="false">IF(D126=0,0,I126/D126)</f>
        <v>0.720833333333333</v>
      </c>
      <c r="L126" s="16" t="n">
        <f aca="false">IF(J126=0,0,F126/J126)</f>
        <v>0.871748554913295</v>
      </c>
      <c r="M126" s="16" t="n">
        <f aca="false">IF(F126=0,0,G126/F126)</f>
        <v>0.971404890178201</v>
      </c>
      <c r="N126" s="16" t="n">
        <f aca="false">K126*L126*M126</f>
        <v>0.610416666666667</v>
      </c>
      <c r="O126" s="19" t="n">
        <f aca="false">MONTH(A126)</f>
        <v>7</v>
      </c>
      <c r="P126" s="19" t="n">
        <f aca="false">INT((A126-DATE(2026,7,1))/7)+1</f>
        <v>2</v>
      </c>
    </row>
    <row r="127" customFormat="false" ht="15" hidden="false" customHeight="false" outlineLevel="0" collapsed="false">
      <c r="A127" s="25" t="n">
        <v>46217</v>
      </c>
      <c r="B127" s="26" t="s">
        <v>18</v>
      </c>
      <c r="C127" s="26" t="s">
        <v>74</v>
      </c>
      <c r="D127" s="26" t="n">
        <v>480</v>
      </c>
      <c r="E127" s="26" t="n">
        <v>8</v>
      </c>
      <c r="F127" s="26" t="n">
        <v>3253</v>
      </c>
      <c r="G127" s="26" t="n">
        <v>3101</v>
      </c>
      <c r="H127" s="19" t="n">
        <f aca="false">SUMIFS(Paradas!$E$2:$E$1973,Paradas!$A$2:$A$1973,A127,Paradas!$B$2:$B$1973,B127,Paradas!$C$2:$C$1973,C127)</f>
        <v>0</v>
      </c>
      <c r="I127" s="19" t="n">
        <f aca="false">D127-H127</f>
        <v>480</v>
      </c>
      <c r="J127" s="19" t="n">
        <f aca="false">I127*E127</f>
        <v>3840</v>
      </c>
      <c r="K127" s="16" t="n">
        <f aca="false">IF(D127=0,0,I127/D127)</f>
        <v>1</v>
      </c>
      <c r="L127" s="16" t="n">
        <f aca="false">IF(J127=0,0,F127/J127)</f>
        <v>0.847135416666667</v>
      </c>
      <c r="M127" s="16" t="n">
        <f aca="false">IF(F127=0,0,G127/F127)</f>
        <v>0.953273901014448</v>
      </c>
      <c r="N127" s="16" t="n">
        <f aca="false">K127*L127*M127</f>
        <v>0.807552083333333</v>
      </c>
      <c r="O127" s="19" t="n">
        <f aca="false">MONTH(A127)</f>
        <v>7</v>
      </c>
      <c r="P127" s="19" t="n">
        <f aca="false">INT((A127-DATE(2026,7,1))/7)+1</f>
        <v>2</v>
      </c>
    </row>
    <row r="128" customFormat="false" ht="15" hidden="false" customHeight="false" outlineLevel="0" collapsed="false">
      <c r="A128" s="25" t="n">
        <v>46218</v>
      </c>
      <c r="B128" s="26" t="s">
        <v>16</v>
      </c>
      <c r="C128" s="26" t="s">
        <v>72</v>
      </c>
      <c r="D128" s="26" t="n">
        <v>480</v>
      </c>
      <c r="E128" s="26" t="n">
        <v>12</v>
      </c>
      <c r="F128" s="26" t="n">
        <v>5092</v>
      </c>
      <c r="G128" s="26" t="n">
        <v>5026</v>
      </c>
      <c r="H128" s="19" t="n">
        <f aca="false">SUMIFS(Paradas!$E$2:$E$1973,Paradas!$A$2:$A$1973,A128,Paradas!$B$2:$B$1973,B128,Paradas!$C$2:$C$1973,C128)</f>
        <v>20</v>
      </c>
      <c r="I128" s="19" t="n">
        <f aca="false">D128-H128</f>
        <v>460</v>
      </c>
      <c r="J128" s="19" t="n">
        <f aca="false">I128*E128</f>
        <v>5520</v>
      </c>
      <c r="K128" s="16" t="n">
        <f aca="false">IF(D128=0,0,I128/D128)</f>
        <v>0.958333333333333</v>
      </c>
      <c r="L128" s="16" t="n">
        <f aca="false">IF(J128=0,0,F128/J128)</f>
        <v>0.922463768115942</v>
      </c>
      <c r="M128" s="16" t="n">
        <f aca="false">IF(F128=0,0,G128/F128)</f>
        <v>0.987038491751768</v>
      </c>
      <c r="N128" s="16" t="n">
        <f aca="false">K128*L128*M128</f>
        <v>0.872569444444444</v>
      </c>
      <c r="O128" s="19" t="n">
        <f aca="false">MONTH(A128)</f>
        <v>7</v>
      </c>
      <c r="P128" s="19" t="n">
        <f aca="false">INT((A128-DATE(2026,7,1))/7)+1</f>
        <v>3</v>
      </c>
    </row>
    <row r="129" customFormat="false" ht="15" hidden="false" customHeight="false" outlineLevel="0" collapsed="false">
      <c r="A129" s="25" t="n">
        <v>46218</v>
      </c>
      <c r="B129" s="26" t="s">
        <v>16</v>
      </c>
      <c r="C129" s="26" t="s">
        <v>73</v>
      </c>
      <c r="D129" s="26" t="n">
        <v>480</v>
      </c>
      <c r="E129" s="26" t="n">
        <v>12</v>
      </c>
      <c r="F129" s="26" t="n">
        <v>3861</v>
      </c>
      <c r="G129" s="26" t="n">
        <v>3762</v>
      </c>
      <c r="H129" s="19" t="n">
        <f aca="false">SUMIFS(Paradas!$E$2:$E$1973,Paradas!$A$2:$A$1973,A129,Paradas!$B$2:$B$1973,B129,Paradas!$C$2:$C$1973,C129)</f>
        <v>115</v>
      </c>
      <c r="I129" s="19" t="n">
        <f aca="false">D129-H129</f>
        <v>365</v>
      </c>
      <c r="J129" s="19" t="n">
        <f aca="false">I129*E129</f>
        <v>4380</v>
      </c>
      <c r="K129" s="16" t="n">
        <f aca="false">IF(D129=0,0,I129/D129)</f>
        <v>0.760416666666667</v>
      </c>
      <c r="L129" s="16" t="n">
        <f aca="false">IF(J129=0,0,F129/J129)</f>
        <v>0.881506849315069</v>
      </c>
      <c r="M129" s="16" t="n">
        <f aca="false">IF(F129=0,0,G129/F129)</f>
        <v>0.974358974358974</v>
      </c>
      <c r="N129" s="16" t="n">
        <f aca="false">K129*L129*M129</f>
        <v>0.653125</v>
      </c>
      <c r="O129" s="19" t="n">
        <f aca="false">MONTH(A129)</f>
        <v>7</v>
      </c>
      <c r="P129" s="19" t="n">
        <f aca="false">INT((A129-DATE(2026,7,1))/7)+1</f>
        <v>3</v>
      </c>
    </row>
    <row r="130" customFormat="false" ht="15" hidden="false" customHeight="false" outlineLevel="0" collapsed="false">
      <c r="A130" s="25" t="n">
        <v>46218</v>
      </c>
      <c r="B130" s="26" t="s">
        <v>16</v>
      </c>
      <c r="C130" s="26" t="s">
        <v>74</v>
      </c>
      <c r="D130" s="26" t="n">
        <v>480</v>
      </c>
      <c r="E130" s="26" t="n">
        <v>12</v>
      </c>
      <c r="F130" s="26" t="n">
        <v>3691</v>
      </c>
      <c r="G130" s="26" t="n">
        <v>3601</v>
      </c>
      <c r="H130" s="19" t="n">
        <f aca="false">SUMIFS(Paradas!$E$2:$E$1973,Paradas!$A$2:$A$1973,A130,Paradas!$B$2:$B$1973,B130,Paradas!$C$2:$C$1973,C130)</f>
        <v>124</v>
      </c>
      <c r="I130" s="19" t="n">
        <f aca="false">D130-H130</f>
        <v>356</v>
      </c>
      <c r="J130" s="19" t="n">
        <f aca="false">I130*E130</f>
        <v>4272</v>
      </c>
      <c r="K130" s="16" t="n">
        <f aca="false">IF(D130=0,0,I130/D130)</f>
        <v>0.741666666666667</v>
      </c>
      <c r="L130" s="16" t="n">
        <f aca="false">IF(J130=0,0,F130/J130)</f>
        <v>0.863998127340824</v>
      </c>
      <c r="M130" s="16" t="n">
        <f aca="false">IF(F130=0,0,G130/F130)</f>
        <v>0.975616364128962</v>
      </c>
      <c r="N130" s="16" t="n">
        <f aca="false">K130*L130*M130</f>
        <v>0.625173611111111</v>
      </c>
      <c r="O130" s="19" t="n">
        <f aca="false">MONTH(A130)</f>
        <v>7</v>
      </c>
      <c r="P130" s="19" t="n">
        <f aca="false">INT((A130-DATE(2026,7,1))/7)+1</f>
        <v>3</v>
      </c>
    </row>
    <row r="131" customFormat="false" ht="15" hidden="false" customHeight="false" outlineLevel="0" collapsed="false">
      <c r="A131" s="25" t="n">
        <v>46218</v>
      </c>
      <c r="B131" s="26" t="s">
        <v>17</v>
      </c>
      <c r="C131" s="26" t="s">
        <v>72</v>
      </c>
      <c r="D131" s="26" t="n">
        <v>480</v>
      </c>
      <c r="E131" s="26" t="n">
        <v>10</v>
      </c>
      <c r="F131" s="26" t="n">
        <v>3780</v>
      </c>
      <c r="G131" s="26" t="n">
        <v>3577</v>
      </c>
      <c r="H131" s="19" t="n">
        <f aca="false">SUMIFS(Paradas!$E$2:$E$1973,Paradas!$A$2:$A$1973,A131,Paradas!$B$2:$B$1973,B131,Paradas!$C$2:$C$1973,C131)</f>
        <v>34</v>
      </c>
      <c r="I131" s="19" t="n">
        <f aca="false">D131-H131</f>
        <v>446</v>
      </c>
      <c r="J131" s="19" t="n">
        <f aca="false">I131*E131</f>
        <v>4460</v>
      </c>
      <c r="K131" s="16" t="n">
        <f aca="false">IF(D131=0,0,I131/D131)</f>
        <v>0.929166666666667</v>
      </c>
      <c r="L131" s="16" t="n">
        <f aca="false">IF(J131=0,0,F131/J131)</f>
        <v>0.847533632286996</v>
      </c>
      <c r="M131" s="16" t="n">
        <f aca="false">IF(F131=0,0,G131/F131)</f>
        <v>0.946296296296296</v>
      </c>
      <c r="N131" s="16" t="n">
        <f aca="false">K131*L131*M131</f>
        <v>0.745208333333333</v>
      </c>
      <c r="O131" s="19" t="n">
        <f aca="false">MONTH(A131)</f>
        <v>7</v>
      </c>
      <c r="P131" s="19" t="n">
        <f aca="false">INT((A131-DATE(2026,7,1))/7)+1</f>
        <v>3</v>
      </c>
    </row>
    <row r="132" customFormat="false" ht="15" hidden="false" customHeight="false" outlineLevel="0" collapsed="false">
      <c r="A132" s="25" t="n">
        <v>46218</v>
      </c>
      <c r="B132" s="26" t="s">
        <v>17</v>
      </c>
      <c r="C132" s="26" t="s">
        <v>73</v>
      </c>
      <c r="D132" s="26" t="n">
        <v>480</v>
      </c>
      <c r="E132" s="26" t="n">
        <v>10</v>
      </c>
      <c r="F132" s="26" t="n">
        <v>3734</v>
      </c>
      <c r="G132" s="26" t="n">
        <v>3590</v>
      </c>
      <c r="H132" s="19" t="n">
        <f aca="false">SUMIFS(Paradas!$E$2:$E$1973,Paradas!$A$2:$A$1973,A132,Paradas!$B$2:$B$1973,B132,Paradas!$C$2:$C$1973,C132)</f>
        <v>39</v>
      </c>
      <c r="I132" s="19" t="n">
        <f aca="false">D132-H132</f>
        <v>441</v>
      </c>
      <c r="J132" s="19" t="n">
        <f aca="false">I132*E132</f>
        <v>4410</v>
      </c>
      <c r="K132" s="16" t="n">
        <f aca="false">IF(D132=0,0,I132/D132)</f>
        <v>0.91875</v>
      </c>
      <c r="L132" s="16" t="n">
        <f aca="false">IF(J132=0,0,F132/J132)</f>
        <v>0.84671201814059</v>
      </c>
      <c r="M132" s="16" t="n">
        <f aca="false">IF(F132=0,0,G132/F132)</f>
        <v>0.961435457953937</v>
      </c>
      <c r="N132" s="16" t="n">
        <f aca="false">K132*L132*M132</f>
        <v>0.747916666666667</v>
      </c>
      <c r="O132" s="19" t="n">
        <f aca="false">MONTH(A132)</f>
        <v>7</v>
      </c>
      <c r="P132" s="19" t="n">
        <f aca="false">INT((A132-DATE(2026,7,1))/7)+1</f>
        <v>3</v>
      </c>
    </row>
    <row r="133" customFormat="false" ht="15" hidden="false" customHeight="false" outlineLevel="0" collapsed="false">
      <c r="A133" s="25" t="n">
        <v>46218</v>
      </c>
      <c r="B133" s="26" t="s">
        <v>17</v>
      </c>
      <c r="C133" s="26" t="s">
        <v>74</v>
      </c>
      <c r="D133" s="26" t="n">
        <v>480</v>
      </c>
      <c r="E133" s="26" t="n">
        <v>10</v>
      </c>
      <c r="F133" s="26" t="n">
        <v>3870</v>
      </c>
      <c r="G133" s="26" t="n">
        <v>3721</v>
      </c>
      <c r="H133" s="19" t="n">
        <f aca="false">SUMIFS(Paradas!$E$2:$E$1973,Paradas!$A$2:$A$1973,A133,Paradas!$B$2:$B$1973,B133,Paradas!$C$2:$C$1973,C133)</f>
        <v>30</v>
      </c>
      <c r="I133" s="19" t="n">
        <f aca="false">D133-H133</f>
        <v>450</v>
      </c>
      <c r="J133" s="19" t="n">
        <f aca="false">I133*E133</f>
        <v>4500</v>
      </c>
      <c r="K133" s="16" t="n">
        <f aca="false">IF(D133=0,0,I133/D133)</f>
        <v>0.9375</v>
      </c>
      <c r="L133" s="16" t="n">
        <f aca="false">IF(J133=0,0,F133/J133)</f>
        <v>0.86</v>
      </c>
      <c r="M133" s="16" t="n">
        <f aca="false">IF(F133=0,0,G133/F133)</f>
        <v>0.961498708010336</v>
      </c>
      <c r="N133" s="16" t="n">
        <f aca="false">K133*L133*M133</f>
        <v>0.775208333333333</v>
      </c>
      <c r="O133" s="19" t="n">
        <f aca="false">MONTH(A133)</f>
        <v>7</v>
      </c>
      <c r="P133" s="19" t="n">
        <f aca="false">INT((A133-DATE(2026,7,1))/7)+1</f>
        <v>3</v>
      </c>
    </row>
    <row r="134" customFormat="false" ht="15" hidden="false" customHeight="false" outlineLevel="0" collapsed="false">
      <c r="A134" s="25" t="n">
        <v>46218</v>
      </c>
      <c r="B134" s="26" t="s">
        <v>18</v>
      </c>
      <c r="C134" s="26" t="s">
        <v>72</v>
      </c>
      <c r="D134" s="26" t="n">
        <v>480</v>
      </c>
      <c r="E134" s="26" t="n">
        <v>8</v>
      </c>
      <c r="F134" s="26" t="n">
        <v>2669</v>
      </c>
      <c r="G134" s="26" t="n">
        <v>2570</v>
      </c>
      <c r="H134" s="19" t="n">
        <f aca="false">SUMIFS(Paradas!$E$2:$E$1973,Paradas!$A$2:$A$1973,A134,Paradas!$B$2:$B$1973,B134,Paradas!$C$2:$C$1973,C134)</f>
        <v>104</v>
      </c>
      <c r="I134" s="19" t="n">
        <f aca="false">D134-H134</f>
        <v>376</v>
      </c>
      <c r="J134" s="19" t="n">
        <f aca="false">I134*E134</f>
        <v>3008</v>
      </c>
      <c r="K134" s="16" t="n">
        <f aca="false">IF(D134=0,0,I134/D134)</f>
        <v>0.783333333333333</v>
      </c>
      <c r="L134" s="16" t="n">
        <f aca="false">IF(J134=0,0,F134/J134)</f>
        <v>0.887300531914894</v>
      </c>
      <c r="M134" s="16" t="n">
        <f aca="false">IF(F134=0,0,G134/F134)</f>
        <v>0.962907455976021</v>
      </c>
      <c r="N134" s="16" t="n">
        <f aca="false">K134*L134*M134</f>
        <v>0.669270833333333</v>
      </c>
      <c r="O134" s="19" t="n">
        <f aca="false">MONTH(A134)</f>
        <v>7</v>
      </c>
      <c r="P134" s="19" t="n">
        <f aca="false">INT((A134-DATE(2026,7,1))/7)+1</f>
        <v>3</v>
      </c>
    </row>
    <row r="135" customFormat="false" ht="15" hidden="false" customHeight="false" outlineLevel="0" collapsed="false">
      <c r="A135" s="25" t="n">
        <v>46218</v>
      </c>
      <c r="B135" s="26" t="s">
        <v>18</v>
      </c>
      <c r="C135" s="26" t="s">
        <v>73</v>
      </c>
      <c r="D135" s="26" t="n">
        <v>480</v>
      </c>
      <c r="E135" s="26" t="n">
        <v>8</v>
      </c>
      <c r="F135" s="26" t="n">
        <v>2663</v>
      </c>
      <c r="G135" s="26" t="n">
        <v>2642</v>
      </c>
      <c r="H135" s="19" t="n">
        <f aca="false">SUMIFS(Paradas!$E$2:$E$1973,Paradas!$A$2:$A$1973,A135,Paradas!$B$2:$B$1973,B135,Paradas!$C$2:$C$1973,C135)</f>
        <v>93</v>
      </c>
      <c r="I135" s="19" t="n">
        <f aca="false">D135-H135</f>
        <v>387</v>
      </c>
      <c r="J135" s="19" t="n">
        <f aca="false">I135*E135</f>
        <v>3096</v>
      </c>
      <c r="K135" s="16" t="n">
        <f aca="false">IF(D135=0,0,I135/D135)</f>
        <v>0.80625</v>
      </c>
      <c r="L135" s="16" t="n">
        <f aca="false">IF(J135=0,0,F135/J135)</f>
        <v>0.860142118863049</v>
      </c>
      <c r="M135" s="16" t="n">
        <f aca="false">IF(F135=0,0,G135/F135)</f>
        <v>0.992114156965828</v>
      </c>
      <c r="N135" s="16" t="n">
        <f aca="false">K135*L135*M135</f>
        <v>0.688020833333333</v>
      </c>
      <c r="O135" s="19" t="n">
        <f aca="false">MONTH(A135)</f>
        <v>7</v>
      </c>
      <c r="P135" s="19" t="n">
        <f aca="false">INT((A135-DATE(2026,7,1))/7)+1</f>
        <v>3</v>
      </c>
    </row>
    <row r="136" customFormat="false" ht="15" hidden="false" customHeight="false" outlineLevel="0" collapsed="false">
      <c r="A136" s="25" t="n">
        <v>46218</v>
      </c>
      <c r="B136" s="26" t="s">
        <v>18</v>
      </c>
      <c r="C136" s="26" t="s">
        <v>74</v>
      </c>
      <c r="D136" s="26" t="n">
        <v>480</v>
      </c>
      <c r="E136" s="26" t="n">
        <v>8</v>
      </c>
      <c r="F136" s="26" t="n">
        <v>2305</v>
      </c>
      <c r="G136" s="26" t="n">
        <v>2248</v>
      </c>
      <c r="H136" s="19" t="n">
        <f aca="false">SUMIFS(Paradas!$E$2:$E$1973,Paradas!$A$2:$A$1973,A136,Paradas!$B$2:$B$1973,B136,Paradas!$C$2:$C$1973,C136)</f>
        <v>132</v>
      </c>
      <c r="I136" s="19" t="n">
        <f aca="false">D136-H136</f>
        <v>348</v>
      </c>
      <c r="J136" s="19" t="n">
        <f aca="false">I136*E136</f>
        <v>2784</v>
      </c>
      <c r="K136" s="16" t="n">
        <f aca="false">IF(D136=0,0,I136/D136)</f>
        <v>0.725</v>
      </c>
      <c r="L136" s="16" t="n">
        <f aca="false">IF(J136=0,0,F136/J136)</f>
        <v>0.827945402298851</v>
      </c>
      <c r="M136" s="16" t="n">
        <f aca="false">IF(F136=0,0,G136/F136)</f>
        <v>0.97527114967462</v>
      </c>
      <c r="N136" s="16" t="n">
        <f aca="false">K136*L136*M136</f>
        <v>0.585416666666667</v>
      </c>
      <c r="O136" s="19" t="n">
        <f aca="false">MONTH(A136)</f>
        <v>7</v>
      </c>
      <c r="P136" s="19" t="n">
        <f aca="false">INT((A136-DATE(2026,7,1))/7)+1</f>
        <v>3</v>
      </c>
    </row>
    <row r="137" customFormat="false" ht="15" hidden="false" customHeight="false" outlineLevel="0" collapsed="false">
      <c r="A137" s="25" t="n">
        <v>46219</v>
      </c>
      <c r="B137" s="26" t="s">
        <v>16</v>
      </c>
      <c r="C137" s="26" t="s">
        <v>72</v>
      </c>
      <c r="D137" s="26" t="n">
        <v>480</v>
      </c>
      <c r="E137" s="26" t="n">
        <v>12</v>
      </c>
      <c r="F137" s="26" t="n">
        <v>4093</v>
      </c>
      <c r="G137" s="26" t="n">
        <v>3981</v>
      </c>
      <c r="H137" s="19" t="n">
        <f aca="false">SUMIFS(Paradas!$E$2:$E$1973,Paradas!$A$2:$A$1973,A137,Paradas!$B$2:$B$1973,B137,Paradas!$C$2:$C$1973,C137)</f>
        <v>92</v>
      </c>
      <c r="I137" s="19" t="n">
        <f aca="false">D137-H137</f>
        <v>388</v>
      </c>
      <c r="J137" s="19" t="n">
        <f aca="false">I137*E137</f>
        <v>4656</v>
      </c>
      <c r="K137" s="16" t="n">
        <f aca="false">IF(D137=0,0,I137/D137)</f>
        <v>0.808333333333333</v>
      </c>
      <c r="L137" s="16" t="n">
        <f aca="false">IF(J137=0,0,F137/J137)</f>
        <v>0.879080756013746</v>
      </c>
      <c r="M137" s="16" t="n">
        <f aca="false">IF(F137=0,0,G137/F137)</f>
        <v>0.972636208160274</v>
      </c>
      <c r="N137" s="16" t="n">
        <f aca="false">K137*L137*M137</f>
        <v>0.691145833333333</v>
      </c>
      <c r="O137" s="19" t="n">
        <f aca="false">MONTH(A137)</f>
        <v>7</v>
      </c>
      <c r="P137" s="19" t="n">
        <f aca="false">INT((A137-DATE(2026,7,1))/7)+1</f>
        <v>3</v>
      </c>
    </row>
    <row r="138" customFormat="false" ht="15" hidden="false" customHeight="false" outlineLevel="0" collapsed="false">
      <c r="A138" s="25" t="n">
        <v>46219</v>
      </c>
      <c r="B138" s="26" t="s">
        <v>16</v>
      </c>
      <c r="C138" s="26" t="s">
        <v>73</v>
      </c>
      <c r="D138" s="26" t="n">
        <v>480</v>
      </c>
      <c r="E138" s="26" t="n">
        <v>12</v>
      </c>
      <c r="F138" s="26" t="n">
        <v>4366</v>
      </c>
      <c r="G138" s="26" t="n">
        <v>4218</v>
      </c>
      <c r="H138" s="19" t="n">
        <f aca="false">SUMIFS(Paradas!$E$2:$E$1973,Paradas!$A$2:$A$1973,A138,Paradas!$B$2:$B$1973,B138,Paradas!$C$2:$C$1973,C138)</f>
        <v>51</v>
      </c>
      <c r="I138" s="19" t="n">
        <f aca="false">D138-H138</f>
        <v>429</v>
      </c>
      <c r="J138" s="19" t="n">
        <f aca="false">I138*E138</f>
        <v>5148</v>
      </c>
      <c r="K138" s="16" t="n">
        <f aca="false">IF(D138=0,0,I138/D138)</f>
        <v>0.89375</v>
      </c>
      <c r="L138" s="16" t="n">
        <f aca="false">IF(J138=0,0,F138/J138)</f>
        <v>0.848096348096348</v>
      </c>
      <c r="M138" s="16" t="n">
        <f aca="false">IF(F138=0,0,G138/F138)</f>
        <v>0.966101694915254</v>
      </c>
      <c r="N138" s="16" t="n">
        <f aca="false">K138*L138*M138</f>
        <v>0.732291666666667</v>
      </c>
      <c r="O138" s="19" t="n">
        <f aca="false">MONTH(A138)</f>
        <v>7</v>
      </c>
      <c r="P138" s="19" t="n">
        <f aca="false">INT((A138-DATE(2026,7,1))/7)+1</f>
        <v>3</v>
      </c>
    </row>
    <row r="139" customFormat="false" ht="15" hidden="false" customHeight="false" outlineLevel="0" collapsed="false">
      <c r="A139" s="25" t="n">
        <v>46219</v>
      </c>
      <c r="B139" s="26" t="s">
        <v>16</v>
      </c>
      <c r="C139" s="26" t="s">
        <v>74</v>
      </c>
      <c r="D139" s="26" t="n">
        <v>480</v>
      </c>
      <c r="E139" s="26" t="n">
        <v>12</v>
      </c>
      <c r="F139" s="26" t="n">
        <v>4093</v>
      </c>
      <c r="G139" s="26" t="n">
        <v>3995</v>
      </c>
      <c r="H139" s="19" t="n">
        <f aca="false">SUMIFS(Paradas!$E$2:$E$1973,Paradas!$A$2:$A$1973,A139,Paradas!$B$2:$B$1973,B139,Paradas!$C$2:$C$1973,C139)</f>
        <v>77</v>
      </c>
      <c r="I139" s="19" t="n">
        <f aca="false">D139-H139</f>
        <v>403</v>
      </c>
      <c r="J139" s="19" t="n">
        <f aca="false">I139*E139</f>
        <v>4836</v>
      </c>
      <c r="K139" s="16" t="n">
        <f aca="false">IF(D139=0,0,I139/D139)</f>
        <v>0.839583333333333</v>
      </c>
      <c r="L139" s="16" t="n">
        <f aca="false">IF(J139=0,0,F139/J139)</f>
        <v>0.846360628618693</v>
      </c>
      <c r="M139" s="16" t="n">
        <f aca="false">IF(F139=0,0,G139/F139)</f>
        <v>0.976056682140239</v>
      </c>
      <c r="N139" s="16" t="n">
        <f aca="false">K139*L139*M139</f>
        <v>0.693576388888889</v>
      </c>
      <c r="O139" s="19" t="n">
        <f aca="false">MONTH(A139)</f>
        <v>7</v>
      </c>
      <c r="P139" s="19" t="n">
        <f aca="false">INT((A139-DATE(2026,7,1))/7)+1</f>
        <v>3</v>
      </c>
    </row>
    <row r="140" customFormat="false" ht="15" hidden="false" customHeight="false" outlineLevel="0" collapsed="false">
      <c r="A140" s="25" t="n">
        <v>46219</v>
      </c>
      <c r="B140" s="26" t="s">
        <v>17</v>
      </c>
      <c r="C140" s="26" t="s">
        <v>72</v>
      </c>
      <c r="D140" s="26" t="n">
        <v>480</v>
      </c>
      <c r="E140" s="26" t="n">
        <v>10</v>
      </c>
      <c r="F140" s="26" t="n">
        <v>3323</v>
      </c>
      <c r="G140" s="26" t="n">
        <v>3153</v>
      </c>
      <c r="H140" s="19" t="n">
        <f aca="false">SUMIFS(Paradas!$E$2:$E$1973,Paradas!$A$2:$A$1973,A140,Paradas!$B$2:$B$1973,B140,Paradas!$C$2:$C$1973,C140)</f>
        <v>126</v>
      </c>
      <c r="I140" s="19" t="n">
        <f aca="false">D140-H140</f>
        <v>354</v>
      </c>
      <c r="J140" s="19" t="n">
        <f aca="false">I140*E140</f>
        <v>3540</v>
      </c>
      <c r="K140" s="16" t="n">
        <f aca="false">IF(D140=0,0,I140/D140)</f>
        <v>0.7375</v>
      </c>
      <c r="L140" s="16" t="n">
        <f aca="false">IF(J140=0,0,F140/J140)</f>
        <v>0.938700564971751</v>
      </c>
      <c r="M140" s="16" t="n">
        <f aca="false">IF(F140=0,0,G140/F140)</f>
        <v>0.948841408365934</v>
      </c>
      <c r="N140" s="16" t="n">
        <f aca="false">K140*L140*M140</f>
        <v>0.656875</v>
      </c>
      <c r="O140" s="19" t="n">
        <f aca="false">MONTH(A140)</f>
        <v>7</v>
      </c>
      <c r="P140" s="19" t="n">
        <f aca="false">INT((A140-DATE(2026,7,1))/7)+1</f>
        <v>3</v>
      </c>
    </row>
    <row r="141" customFormat="false" ht="15" hidden="false" customHeight="false" outlineLevel="0" collapsed="false">
      <c r="A141" s="25" t="n">
        <v>46219</v>
      </c>
      <c r="B141" s="26" t="s">
        <v>17</v>
      </c>
      <c r="C141" s="26" t="s">
        <v>73</v>
      </c>
      <c r="D141" s="26" t="n">
        <v>480</v>
      </c>
      <c r="E141" s="26" t="n">
        <v>10</v>
      </c>
      <c r="F141" s="26" t="n">
        <v>4212</v>
      </c>
      <c r="G141" s="26" t="n">
        <v>4088</v>
      </c>
      <c r="H141" s="19" t="n">
        <f aca="false">SUMIFS(Paradas!$E$2:$E$1973,Paradas!$A$2:$A$1973,A141,Paradas!$B$2:$B$1973,B141,Paradas!$C$2:$C$1973,C141)</f>
        <v>16</v>
      </c>
      <c r="I141" s="19" t="n">
        <f aca="false">D141-H141</f>
        <v>464</v>
      </c>
      <c r="J141" s="19" t="n">
        <f aca="false">I141*E141</f>
        <v>4640</v>
      </c>
      <c r="K141" s="16" t="n">
        <f aca="false">IF(D141=0,0,I141/D141)</f>
        <v>0.966666666666667</v>
      </c>
      <c r="L141" s="16" t="n">
        <f aca="false">IF(J141=0,0,F141/J141)</f>
        <v>0.907758620689655</v>
      </c>
      <c r="M141" s="16" t="n">
        <f aca="false">IF(F141=0,0,G141/F141)</f>
        <v>0.970560303893637</v>
      </c>
      <c r="N141" s="16" t="n">
        <f aca="false">K141*L141*M141</f>
        <v>0.851666666666667</v>
      </c>
      <c r="O141" s="19" t="n">
        <f aca="false">MONTH(A141)</f>
        <v>7</v>
      </c>
      <c r="P141" s="19" t="n">
        <f aca="false">INT((A141-DATE(2026,7,1))/7)+1</f>
        <v>3</v>
      </c>
    </row>
    <row r="142" customFormat="false" ht="15" hidden="false" customHeight="false" outlineLevel="0" collapsed="false">
      <c r="A142" s="25" t="n">
        <v>46219</v>
      </c>
      <c r="B142" s="26" t="s">
        <v>17</v>
      </c>
      <c r="C142" s="26" t="s">
        <v>74</v>
      </c>
      <c r="D142" s="26" t="n">
        <v>480</v>
      </c>
      <c r="E142" s="26" t="n">
        <v>10</v>
      </c>
      <c r="F142" s="26" t="n">
        <v>2652</v>
      </c>
      <c r="G142" s="26" t="n">
        <v>2566</v>
      </c>
      <c r="H142" s="19" t="n">
        <f aca="false">SUMIFS(Paradas!$E$2:$E$1973,Paradas!$A$2:$A$1973,A142,Paradas!$B$2:$B$1973,B142,Paradas!$C$2:$C$1973,C142)</f>
        <v>177</v>
      </c>
      <c r="I142" s="19" t="n">
        <f aca="false">D142-H142</f>
        <v>303</v>
      </c>
      <c r="J142" s="19" t="n">
        <f aca="false">I142*E142</f>
        <v>3030</v>
      </c>
      <c r="K142" s="16" t="n">
        <f aca="false">IF(D142=0,0,I142/D142)</f>
        <v>0.63125</v>
      </c>
      <c r="L142" s="16" t="n">
        <f aca="false">IF(J142=0,0,F142/J142)</f>
        <v>0.875247524752475</v>
      </c>
      <c r="M142" s="16" t="n">
        <f aca="false">IF(F142=0,0,G142/F142)</f>
        <v>0.967571644042232</v>
      </c>
      <c r="N142" s="16" t="n">
        <f aca="false">K142*L142*M142</f>
        <v>0.534583333333333</v>
      </c>
      <c r="O142" s="19" t="n">
        <f aca="false">MONTH(A142)</f>
        <v>7</v>
      </c>
      <c r="P142" s="19" t="n">
        <f aca="false">INT((A142-DATE(2026,7,1))/7)+1</f>
        <v>3</v>
      </c>
    </row>
    <row r="143" customFormat="false" ht="15" hidden="false" customHeight="false" outlineLevel="0" collapsed="false">
      <c r="A143" s="25" t="n">
        <v>46219</v>
      </c>
      <c r="B143" s="26" t="s">
        <v>18</v>
      </c>
      <c r="C143" s="26" t="s">
        <v>72</v>
      </c>
      <c r="D143" s="26" t="n">
        <v>480</v>
      </c>
      <c r="E143" s="26" t="n">
        <v>8</v>
      </c>
      <c r="F143" s="26" t="n">
        <v>2571</v>
      </c>
      <c r="G143" s="26" t="n">
        <v>2501</v>
      </c>
      <c r="H143" s="19" t="n">
        <f aca="false">SUMIFS(Paradas!$E$2:$E$1973,Paradas!$A$2:$A$1973,A143,Paradas!$B$2:$B$1973,B143,Paradas!$C$2:$C$1973,C143)</f>
        <v>104</v>
      </c>
      <c r="I143" s="19" t="n">
        <f aca="false">D143-H143</f>
        <v>376</v>
      </c>
      <c r="J143" s="19" t="n">
        <f aca="false">I143*E143</f>
        <v>3008</v>
      </c>
      <c r="K143" s="16" t="n">
        <f aca="false">IF(D143=0,0,I143/D143)</f>
        <v>0.783333333333333</v>
      </c>
      <c r="L143" s="16" t="n">
        <f aca="false">IF(J143=0,0,F143/J143)</f>
        <v>0.854720744680851</v>
      </c>
      <c r="M143" s="16" t="n">
        <f aca="false">IF(F143=0,0,G143/F143)</f>
        <v>0.972773239984442</v>
      </c>
      <c r="N143" s="16" t="n">
        <f aca="false">K143*L143*M143</f>
        <v>0.651302083333333</v>
      </c>
      <c r="O143" s="19" t="n">
        <f aca="false">MONTH(A143)</f>
        <v>7</v>
      </c>
      <c r="P143" s="19" t="n">
        <f aca="false">INT((A143-DATE(2026,7,1))/7)+1</f>
        <v>3</v>
      </c>
    </row>
    <row r="144" customFormat="false" ht="15" hidden="false" customHeight="false" outlineLevel="0" collapsed="false">
      <c r="A144" s="25" t="n">
        <v>46219</v>
      </c>
      <c r="B144" s="26" t="s">
        <v>18</v>
      </c>
      <c r="C144" s="26" t="s">
        <v>73</v>
      </c>
      <c r="D144" s="26" t="n">
        <v>480</v>
      </c>
      <c r="E144" s="26" t="n">
        <v>8</v>
      </c>
      <c r="F144" s="26" t="n">
        <v>1856</v>
      </c>
      <c r="G144" s="26" t="n">
        <v>1814</v>
      </c>
      <c r="H144" s="19" t="n">
        <f aca="false">SUMIFS(Paradas!$E$2:$E$1973,Paradas!$A$2:$A$1973,A144,Paradas!$B$2:$B$1973,B144,Paradas!$C$2:$C$1973,C144)</f>
        <v>212</v>
      </c>
      <c r="I144" s="19" t="n">
        <f aca="false">D144-H144</f>
        <v>268</v>
      </c>
      <c r="J144" s="19" t="n">
        <f aca="false">I144*E144</f>
        <v>2144</v>
      </c>
      <c r="K144" s="16" t="n">
        <f aca="false">IF(D144=0,0,I144/D144)</f>
        <v>0.558333333333333</v>
      </c>
      <c r="L144" s="16" t="n">
        <f aca="false">IF(J144=0,0,F144/J144)</f>
        <v>0.865671641791045</v>
      </c>
      <c r="M144" s="16" t="n">
        <f aca="false">IF(F144=0,0,G144/F144)</f>
        <v>0.977370689655172</v>
      </c>
      <c r="N144" s="16" t="n">
        <f aca="false">K144*L144*M144</f>
        <v>0.472395833333333</v>
      </c>
      <c r="O144" s="19" t="n">
        <f aca="false">MONTH(A144)</f>
        <v>7</v>
      </c>
      <c r="P144" s="19" t="n">
        <f aca="false">INT((A144-DATE(2026,7,1))/7)+1</f>
        <v>3</v>
      </c>
    </row>
    <row r="145" customFormat="false" ht="15" hidden="false" customHeight="false" outlineLevel="0" collapsed="false">
      <c r="A145" s="25" t="n">
        <v>46219</v>
      </c>
      <c r="B145" s="26" t="s">
        <v>18</v>
      </c>
      <c r="C145" s="26" t="s">
        <v>74</v>
      </c>
      <c r="D145" s="26" t="n">
        <v>480</v>
      </c>
      <c r="E145" s="26" t="n">
        <v>8</v>
      </c>
      <c r="F145" s="26" t="n">
        <v>2895</v>
      </c>
      <c r="G145" s="26" t="n">
        <v>2752</v>
      </c>
      <c r="H145" s="19" t="n">
        <f aca="false">SUMIFS(Paradas!$E$2:$E$1973,Paradas!$A$2:$A$1973,A145,Paradas!$B$2:$B$1973,B145,Paradas!$C$2:$C$1973,C145)</f>
        <v>44</v>
      </c>
      <c r="I145" s="19" t="n">
        <f aca="false">D145-H145</f>
        <v>436</v>
      </c>
      <c r="J145" s="19" t="n">
        <f aca="false">I145*E145</f>
        <v>3488</v>
      </c>
      <c r="K145" s="16" t="n">
        <f aca="false">IF(D145=0,0,I145/D145)</f>
        <v>0.908333333333333</v>
      </c>
      <c r="L145" s="16" t="n">
        <f aca="false">IF(J145=0,0,F145/J145)</f>
        <v>0.829988532110092</v>
      </c>
      <c r="M145" s="16" t="n">
        <f aca="false">IF(F145=0,0,G145/F145)</f>
        <v>0.950604490500864</v>
      </c>
      <c r="N145" s="16" t="n">
        <f aca="false">K145*L145*M145</f>
        <v>0.716666666666667</v>
      </c>
      <c r="O145" s="19" t="n">
        <f aca="false">MONTH(A145)</f>
        <v>7</v>
      </c>
      <c r="P145" s="19" t="n">
        <f aca="false">INT((A145-DATE(2026,7,1))/7)+1</f>
        <v>3</v>
      </c>
    </row>
    <row r="146" customFormat="false" ht="15" hidden="false" customHeight="false" outlineLevel="0" collapsed="false">
      <c r="A146" s="25" t="n">
        <v>46220</v>
      </c>
      <c r="B146" s="26" t="s">
        <v>16</v>
      </c>
      <c r="C146" s="26" t="s">
        <v>72</v>
      </c>
      <c r="D146" s="26" t="n">
        <v>480</v>
      </c>
      <c r="E146" s="26" t="n">
        <v>12</v>
      </c>
      <c r="F146" s="26" t="n">
        <v>5429</v>
      </c>
      <c r="G146" s="26" t="n">
        <v>5248</v>
      </c>
      <c r="H146" s="19" t="n">
        <f aca="false">SUMIFS(Paradas!$E$2:$E$1973,Paradas!$A$2:$A$1973,A146,Paradas!$B$2:$B$1973,B146,Paradas!$C$2:$C$1973,C146)</f>
        <v>23</v>
      </c>
      <c r="I146" s="19" t="n">
        <f aca="false">D146-H146</f>
        <v>457</v>
      </c>
      <c r="J146" s="19" t="n">
        <f aca="false">I146*E146</f>
        <v>5484</v>
      </c>
      <c r="K146" s="16" t="n">
        <f aca="false">IF(D146=0,0,I146/D146)</f>
        <v>0.952083333333333</v>
      </c>
      <c r="L146" s="16" t="n">
        <f aca="false">IF(J146=0,0,F146/J146)</f>
        <v>0.989970824215901</v>
      </c>
      <c r="M146" s="16" t="n">
        <f aca="false">IF(F146=0,0,G146/F146)</f>
        <v>0.966660526800516</v>
      </c>
      <c r="N146" s="16" t="n">
        <f aca="false">K146*L146*M146</f>
        <v>0.911111111111111</v>
      </c>
      <c r="O146" s="19" t="n">
        <f aca="false">MONTH(A146)</f>
        <v>7</v>
      </c>
      <c r="P146" s="19" t="n">
        <f aca="false">INT((A146-DATE(2026,7,1))/7)+1</f>
        <v>3</v>
      </c>
    </row>
    <row r="147" customFormat="false" ht="15" hidden="false" customHeight="false" outlineLevel="0" collapsed="false">
      <c r="A147" s="25" t="n">
        <v>46220</v>
      </c>
      <c r="B147" s="26" t="s">
        <v>16</v>
      </c>
      <c r="C147" s="26" t="s">
        <v>73</v>
      </c>
      <c r="D147" s="26" t="n">
        <v>480</v>
      </c>
      <c r="E147" s="26" t="n">
        <v>12</v>
      </c>
      <c r="F147" s="26" t="n">
        <v>4579</v>
      </c>
      <c r="G147" s="26" t="n">
        <v>4437</v>
      </c>
      <c r="H147" s="19" t="n">
        <f aca="false">SUMIFS(Paradas!$E$2:$E$1973,Paradas!$A$2:$A$1973,A147,Paradas!$B$2:$B$1973,B147,Paradas!$C$2:$C$1973,C147)</f>
        <v>84</v>
      </c>
      <c r="I147" s="19" t="n">
        <f aca="false">D147-H147</f>
        <v>396</v>
      </c>
      <c r="J147" s="19" t="n">
        <f aca="false">I147*E147</f>
        <v>4752</v>
      </c>
      <c r="K147" s="16" t="n">
        <f aca="false">IF(D147=0,0,I147/D147)</f>
        <v>0.825</v>
      </c>
      <c r="L147" s="16" t="n">
        <f aca="false">IF(J147=0,0,F147/J147)</f>
        <v>0.963594276094276</v>
      </c>
      <c r="M147" s="16" t="n">
        <f aca="false">IF(F147=0,0,G147/F147)</f>
        <v>0.968988862196986</v>
      </c>
      <c r="N147" s="16" t="n">
        <f aca="false">K147*L147*M147</f>
        <v>0.7703125</v>
      </c>
      <c r="O147" s="19" t="n">
        <f aca="false">MONTH(A147)</f>
        <v>7</v>
      </c>
      <c r="P147" s="19" t="n">
        <f aca="false">INT((A147-DATE(2026,7,1))/7)+1</f>
        <v>3</v>
      </c>
    </row>
    <row r="148" customFormat="false" ht="15" hidden="false" customHeight="false" outlineLevel="0" collapsed="false">
      <c r="A148" s="25" t="n">
        <v>46220</v>
      </c>
      <c r="B148" s="26" t="s">
        <v>16</v>
      </c>
      <c r="C148" s="26" t="s">
        <v>74</v>
      </c>
      <c r="D148" s="26" t="n">
        <v>480</v>
      </c>
      <c r="E148" s="26" t="n">
        <v>12</v>
      </c>
      <c r="F148" s="26" t="n">
        <v>4285</v>
      </c>
      <c r="G148" s="26" t="n">
        <v>4186</v>
      </c>
      <c r="H148" s="19" t="n">
        <f aca="false">SUMIFS(Paradas!$E$2:$E$1973,Paradas!$A$2:$A$1973,A148,Paradas!$B$2:$B$1973,B148,Paradas!$C$2:$C$1973,C148)</f>
        <v>57</v>
      </c>
      <c r="I148" s="19" t="n">
        <f aca="false">D148-H148</f>
        <v>423</v>
      </c>
      <c r="J148" s="19" t="n">
        <f aca="false">I148*E148</f>
        <v>5076</v>
      </c>
      <c r="K148" s="16" t="n">
        <f aca="false">IF(D148=0,0,I148/D148)</f>
        <v>0.88125</v>
      </c>
      <c r="L148" s="16" t="n">
        <f aca="false">IF(J148=0,0,F148/J148)</f>
        <v>0.844168636721828</v>
      </c>
      <c r="M148" s="16" t="n">
        <f aca="false">IF(F148=0,0,G148/F148)</f>
        <v>0.976896149358226</v>
      </c>
      <c r="N148" s="16" t="n">
        <f aca="false">K148*L148*M148</f>
        <v>0.726736111111111</v>
      </c>
      <c r="O148" s="19" t="n">
        <f aca="false">MONTH(A148)</f>
        <v>7</v>
      </c>
      <c r="P148" s="19" t="n">
        <f aca="false">INT((A148-DATE(2026,7,1))/7)+1</f>
        <v>3</v>
      </c>
    </row>
    <row r="149" customFormat="false" ht="15" hidden="false" customHeight="false" outlineLevel="0" collapsed="false">
      <c r="A149" s="25" t="n">
        <v>46220</v>
      </c>
      <c r="B149" s="26" t="s">
        <v>17</v>
      </c>
      <c r="C149" s="26" t="s">
        <v>72</v>
      </c>
      <c r="D149" s="26" t="n">
        <v>480</v>
      </c>
      <c r="E149" s="26" t="n">
        <v>10</v>
      </c>
      <c r="F149" s="26" t="n">
        <v>3852</v>
      </c>
      <c r="G149" s="26" t="n">
        <v>3742</v>
      </c>
      <c r="H149" s="19" t="n">
        <f aca="false">SUMIFS(Paradas!$E$2:$E$1973,Paradas!$A$2:$A$1973,A149,Paradas!$B$2:$B$1973,B149,Paradas!$C$2:$C$1973,C149)</f>
        <v>54</v>
      </c>
      <c r="I149" s="19" t="n">
        <f aca="false">D149-H149</f>
        <v>426</v>
      </c>
      <c r="J149" s="19" t="n">
        <f aca="false">I149*E149</f>
        <v>4260</v>
      </c>
      <c r="K149" s="16" t="n">
        <f aca="false">IF(D149=0,0,I149/D149)</f>
        <v>0.8875</v>
      </c>
      <c r="L149" s="16" t="n">
        <f aca="false">IF(J149=0,0,F149/J149)</f>
        <v>0.904225352112676</v>
      </c>
      <c r="M149" s="16" t="n">
        <f aca="false">IF(F149=0,0,G149/F149)</f>
        <v>0.971443406022845</v>
      </c>
      <c r="N149" s="16" t="n">
        <f aca="false">K149*L149*M149</f>
        <v>0.779583333333333</v>
      </c>
      <c r="O149" s="19" t="n">
        <f aca="false">MONTH(A149)</f>
        <v>7</v>
      </c>
      <c r="P149" s="19" t="n">
        <f aca="false">INT((A149-DATE(2026,7,1))/7)+1</f>
        <v>3</v>
      </c>
    </row>
    <row r="150" customFormat="false" ht="15" hidden="false" customHeight="false" outlineLevel="0" collapsed="false">
      <c r="A150" s="25" t="n">
        <v>46220</v>
      </c>
      <c r="B150" s="26" t="s">
        <v>17</v>
      </c>
      <c r="C150" s="26" t="s">
        <v>73</v>
      </c>
      <c r="D150" s="26" t="n">
        <v>480</v>
      </c>
      <c r="E150" s="26" t="n">
        <v>10</v>
      </c>
      <c r="F150" s="26" t="n">
        <v>2727</v>
      </c>
      <c r="G150" s="26" t="n">
        <v>2626</v>
      </c>
      <c r="H150" s="19" t="n">
        <f aca="false">SUMIFS(Paradas!$E$2:$E$1973,Paradas!$A$2:$A$1973,A150,Paradas!$B$2:$B$1973,B150,Paradas!$C$2:$C$1973,C150)</f>
        <v>173</v>
      </c>
      <c r="I150" s="19" t="n">
        <f aca="false">D150-H150</f>
        <v>307</v>
      </c>
      <c r="J150" s="19" t="n">
        <f aca="false">I150*E150</f>
        <v>3070</v>
      </c>
      <c r="K150" s="16" t="n">
        <f aca="false">IF(D150=0,0,I150/D150)</f>
        <v>0.639583333333333</v>
      </c>
      <c r="L150" s="16" t="n">
        <f aca="false">IF(J150=0,0,F150/J150)</f>
        <v>0.888273615635179</v>
      </c>
      <c r="M150" s="16" t="n">
        <f aca="false">IF(F150=0,0,G150/F150)</f>
        <v>0.962962962962963</v>
      </c>
      <c r="N150" s="16" t="n">
        <f aca="false">K150*L150*M150</f>
        <v>0.547083333333333</v>
      </c>
      <c r="O150" s="19" t="n">
        <f aca="false">MONTH(A150)</f>
        <v>7</v>
      </c>
      <c r="P150" s="19" t="n">
        <f aca="false">INT((A150-DATE(2026,7,1))/7)+1</f>
        <v>3</v>
      </c>
    </row>
    <row r="151" customFormat="false" ht="15" hidden="false" customHeight="false" outlineLevel="0" collapsed="false">
      <c r="A151" s="25" t="n">
        <v>46220</v>
      </c>
      <c r="B151" s="26" t="s">
        <v>17</v>
      </c>
      <c r="C151" s="26" t="s">
        <v>74</v>
      </c>
      <c r="D151" s="26" t="n">
        <v>480</v>
      </c>
      <c r="E151" s="26" t="n">
        <v>10</v>
      </c>
      <c r="F151" s="26" t="n">
        <v>3694</v>
      </c>
      <c r="G151" s="26" t="n">
        <v>3464</v>
      </c>
      <c r="H151" s="19" t="n">
        <f aca="false">SUMIFS(Paradas!$E$2:$E$1973,Paradas!$A$2:$A$1973,A151,Paradas!$B$2:$B$1973,B151,Paradas!$C$2:$C$1973,C151)</f>
        <v>38</v>
      </c>
      <c r="I151" s="19" t="n">
        <f aca="false">D151-H151</f>
        <v>442</v>
      </c>
      <c r="J151" s="19" t="n">
        <f aca="false">I151*E151</f>
        <v>4420</v>
      </c>
      <c r="K151" s="16" t="n">
        <f aca="false">IF(D151=0,0,I151/D151)</f>
        <v>0.920833333333333</v>
      </c>
      <c r="L151" s="16" t="n">
        <f aca="false">IF(J151=0,0,F151/J151)</f>
        <v>0.835746606334842</v>
      </c>
      <c r="M151" s="16" t="n">
        <f aca="false">IF(F151=0,0,G151/F151)</f>
        <v>0.937736870600975</v>
      </c>
      <c r="N151" s="16" t="n">
        <f aca="false">K151*L151*M151</f>
        <v>0.721666666666667</v>
      </c>
      <c r="O151" s="19" t="n">
        <f aca="false">MONTH(A151)</f>
        <v>7</v>
      </c>
      <c r="P151" s="19" t="n">
        <f aca="false">INT((A151-DATE(2026,7,1))/7)+1</f>
        <v>3</v>
      </c>
    </row>
    <row r="152" customFormat="false" ht="15" hidden="false" customHeight="false" outlineLevel="0" collapsed="false">
      <c r="A152" s="25" t="n">
        <v>46220</v>
      </c>
      <c r="B152" s="26" t="s">
        <v>18</v>
      </c>
      <c r="C152" s="26" t="s">
        <v>72</v>
      </c>
      <c r="D152" s="26" t="n">
        <v>480</v>
      </c>
      <c r="E152" s="26" t="n">
        <v>8</v>
      </c>
      <c r="F152" s="26" t="n">
        <v>3096</v>
      </c>
      <c r="G152" s="26" t="n">
        <v>2980</v>
      </c>
      <c r="H152" s="19" t="n">
        <f aca="false">SUMIFS(Paradas!$E$2:$E$1973,Paradas!$A$2:$A$1973,A152,Paradas!$B$2:$B$1973,B152,Paradas!$C$2:$C$1973,C152)</f>
        <v>36</v>
      </c>
      <c r="I152" s="19" t="n">
        <f aca="false">D152-H152</f>
        <v>444</v>
      </c>
      <c r="J152" s="19" t="n">
        <f aca="false">I152*E152</f>
        <v>3552</v>
      </c>
      <c r="K152" s="16" t="n">
        <f aca="false">IF(D152=0,0,I152/D152)</f>
        <v>0.925</v>
      </c>
      <c r="L152" s="16" t="n">
        <f aca="false">IF(J152=0,0,F152/J152)</f>
        <v>0.871621621621622</v>
      </c>
      <c r="M152" s="16" t="n">
        <f aca="false">IF(F152=0,0,G152/F152)</f>
        <v>0.962532299741602</v>
      </c>
      <c r="N152" s="16" t="n">
        <f aca="false">K152*L152*M152</f>
        <v>0.776041666666667</v>
      </c>
      <c r="O152" s="19" t="n">
        <f aca="false">MONTH(A152)</f>
        <v>7</v>
      </c>
      <c r="P152" s="19" t="n">
        <f aca="false">INT((A152-DATE(2026,7,1))/7)+1</f>
        <v>3</v>
      </c>
    </row>
    <row r="153" customFormat="false" ht="15" hidden="false" customHeight="false" outlineLevel="0" collapsed="false">
      <c r="A153" s="25" t="n">
        <v>46220</v>
      </c>
      <c r="B153" s="26" t="s">
        <v>18</v>
      </c>
      <c r="C153" s="26" t="s">
        <v>73</v>
      </c>
      <c r="D153" s="26" t="n">
        <v>480</v>
      </c>
      <c r="E153" s="26" t="n">
        <v>8</v>
      </c>
      <c r="F153" s="26" t="n">
        <v>2453</v>
      </c>
      <c r="G153" s="26" t="n">
        <v>2359</v>
      </c>
      <c r="H153" s="19" t="n">
        <f aca="false">SUMIFS(Paradas!$E$2:$E$1973,Paradas!$A$2:$A$1973,A153,Paradas!$B$2:$B$1973,B153,Paradas!$C$2:$C$1973,C153)</f>
        <v>159</v>
      </c>
      <c r="I153" s="19" t="n">
        <f aca="false">D153-H153</f>
        <v>321</v>
      </c>
      <c r="J153" s="19" t="n">
        <f aca="false">I153*E153</f>
        <v>2568</v>
      </c>
      <c r="K153" s="16" t="n">
        <f aca="false">IF(D153=0,0,I153/D153)</f>
        <v>0.66875</v>
      </c>
      <c r="L153" s="16" t="n">
        <f aca="false">IF(J153=0,0,F153/J153)</f>
        <v>0.955218068535826</v>
      </c>
      <c r="M153" s="16" t="n">
        <f aca="false">IF(F153=0,0,G153/F153)</f>
        <v>0.961679576029352</v>
      </c>
      <c r="N153" s="16" t="n">
        <f aca="false">K153*L153*M153</f>
        <v>0.614322916666667</v>
      </c>
      <c r="O153" s="19" t="n">
        <f aca="false">MONTH(A153)</f>
        <v>7</v>
      </c>
      <c r="P153" s="19" t="n">
        <f aca="false">INT((A153-DATE(2026,7,1))/7)+1</f>
        <v>3</v>
      </c>
    </row>
    <row r="154" customFormat="false" ht="15" hidden="false" customHeight="false" outlineLevel="0" collapsed="false">
      <c r="A154" s="25" t="n">
        <v>46220</v>
      </c>
      <c r="B154" s="26" t="s">
        <v>18</v>
      </c>
      <c r="C154" s="26" t="s">
        <v>74</v>
      </c>
      <c r="D154" s="26" t="n">
        <v>480</v>
      </c>
      <c r="E154" s="26" t="n">
        <v>8</v>
      </c>
      <c r="F154" s="26" t="n">
        <v>3097</v>
      </c>
      <c r="G154" s="26" t="n">
        <v>3013</v>
      </c>
      <c r="H154" s="19" t="n">
        <f aca="false">SUMIFS(Paradas!$E$2:$E$1973,Paradas!$A$2:$A$1973,A154,Paradas!$B$2:$B$1973,B154,Paradas!$C$2:$C$1973,C154)</f>
        <v>46</v>
      </c>
      <c r="I154" s="19" t="n">
        <f aca="false">D154-H154</f>
        <v>434</v>
      </c>
      <c r="J154" s="19" t="n">
        <f aca="false">I154*E154</f>
        <v>3472</v>
      </c>
      <c r="K154" s="16" t="n">
        <f aca="false">IF(D154=0,0,I154/D154)</f>
        <v>0.904166666666667</v>
      </c>
      <c r="L154" s="16" t="n">
        <f aca="false">IF(J154=0,0,F154/J154)</f>
        <v>0.891993087557604</v>
      </c>
      <c r="M154" s="16" t="n">
        <f aca="false">IF(F154=0,0,G154/F154)</f>
        <v>0.972876977720375</v>
      </c>
      <c r="N154" s="16" t="n">
        <f aca="false">K154*L154*M154</f>
        <v>0.784635416666667</v>
      </c>
      <c r="O154" s="19" t="n">
        <f aca="false">MONTH(A154)</f>
        <v>7</v>
      </c>
      <c r="P154" s="19" t="n">
        <f aca="false">INT((A154-DATE(2026,7,1))/7)+1</f>
        <v>3</v>
      </c>
    </row>
    <row r="155" customFormat="false" ht="15" hidden="false" customHeight="false" outlineLevel="0" collapsed="false">
      <c r="A155" s="25" t="n">
        <v>46221</v>
      </c>
      <c r="B155" s="26" t="s">
        <v>16</v>
      </c>
      <c r="C155" s="26" t="s">
        <v>72</v>
      </c>
      <c r="D155" s="26" t="n">
        <v>480</v>
      </c>
      <c r="E155" s="26" t="n">
        <v>12</v>
      </c>
      <c r="F155" s="26" t="n">
        <v>4413</v>
      </c>
      <c r="G155" s="26" t="n">
        <v>4345</v>
      </c>
      <c r="H155" s="19" t="n">
        <f aca="false">SUMIFS(Paradas!$E$2:$E$1973,Paradas!$A$2:$A$1973,A155,Paradas!$B$2:$B$1973,B155,Paradas!$C$2:$C$1973,C155)</f>
        <v>83</v>
      </c>
      <c r="I155" s="19" t="n">
        <f aca="false">D155-H155</f>
        <v>397</v>
      </c>
      <c r="J155" s="19" t="n">
        <f aca="false">I155*E155</f>
        <v>4764</v>
      </c>
      <c r="K155" s="16" t="n">
        <f aca="false">IF(D155=0,0,I155/D155)</f>
        <v>0.827083333333333</v>
      </c>
      <c r="L155" s="16" t="n">
        <f aca="false">IF(J155=0,0,F155/J155)</f>
        <v>0.92632241813602</v>
      </c>
      <c r="M155" s="16" t="n">
        <f aca="false">IF(F155=0,0,G155/F155)</f>
        <v>0.984590981191933</v>
      </c>
      <c r="N155" s="16" t="n">
        <f aca="false">K155*L155*M155</f>
        <v>0.754340277777778</v>
      </c>
      <c r="O155" s="19" t="n">
        <f aca="false">MONTH(A155)</f>
        <v>7</v>
      </c>
      <c r="P155" s="19" t="n">
        <f aca="false">INT((A155-DATE(2026,7,1))/7)+1</f>
        <v>3</v>
      </c>
    </row>
    <row r="156" customFormat="false" ht="15" hidden="false" customHeight="false" outlineLevel="0" collapsed="false">
      <c r="A156" s="25" t="n">
        <v>46221</v>
      </c>
      <c r="B156" s="26" t="s">
        <v>16</v>
      </c>
      <c r="C156" s="26" t="s">
        <v>73</v>
      </c>
      <c r="D156" s="26" t="n">
        <v>480</v>
      </c>
      <c r="E156" s="26" t="n">
        <v>12</v>
      </c>
      <c r="F156" s="26" t="n">
        <v>4411</v>
      </c>
      <c r="G156" s="26" t="n">
        <v>4306</v>
      </c>
      <c r="H156" s="19" t="n">
        <f aca="false">SUMIFS(Paradas!$E$2:$E$1973,Paradas!$A$2:$A$1973,A156,Paradas!$B$2:$B$1973,B156,Paradas!$C$2:$C$1973,C156)</f>
        <v>71</v>
      </c>
      <c r="I156" s="19" t="n">
        <f aca="false">D156-H156</f>
        <v>409</v>
      </c>
      <c r="J156" s="19" t="n">
        <f aca="false">I156*E156</f>
        <v>4908</v>
      </c>
      <c r="K156" s="16" t="n">
        <f aca="false">IF(D156=0,0,I156/D156)</f>
        <v>0.852083333333333</v>
      </c>
      <c r="L156" s="16" t="n">
        <f aca="false">IF(J156=0,0,F156/J156)</f>
        <v>0.898736756316218</v>
      </c>
      <c r="M156" s="16" t="n">
        <f aca="false">IF(F156=0,0,G156/F156)</f>
        <v>0.976195873951485</v>
      </c>
      <c r="N156" s="16" t="n">
        <f aca="false">K156*L156*M156</f>
        <v>0.747569444444444</v>
      </c>
      <c r="O156" s="19" t="n">
        <f aca="false">MONTH(A156)</f>
        <v>7</v>
      </c>
      <c r="P156" s="19" t="n">
        <f aca="false">INT((A156-DATE(2026,7,1))/7)+1</f>
        <v>3</v>
      </c>
    </row>
    <row r="157" customFormat="false" ht="15" hidden="false" customHeight="false" outlineLevel="0" collapsed="false">
      <c r="A157" s="25" t="n">
        <v>46221</v>
      </c>
      <c r="B157" s="26" t="s">
        <v>16</v>
      </c>
      <c r="C157" s="26" t="s">
        <v>74</v>
      </c>
      <c r="D157" s="26" t="n">
        <v>480</v>
      </c>
      <c r="E157" s="26" t="n">
        <v>12</v>
      </c>
      <c r="F157" s="26" t="n">
        <v>3992</v>
      </c>
      <c r="G157" s="26" t="n">
        <v>3970</v>
      </c>
      <c r="H157" s="19" t="n">
        <f aca="false">SUMIFS(Paradas!$E$2:$E$1973,Paradas!$A$2:$A$1973,A157,Paradas!$B$2:$B$1973,B157,Paradas!$C$2:$C$1973,C157)</f>
        <v>68</v>
      </c>
      <c r="I157" s="19" t="n">
        <f aca="false">D157-H157</f>
        <v>412</v>
      </c>
      <c r="J157" s="19" t="n">
        <f aca="false">I157*E157</f>
        <v>4944</v>
      </c>
      <c r="K157" s="16" t="n">
        <f aca="false">IF(D157=0,0,I157/D157)</f>
        <v>0.858333333333333</v>
      </c>
      <c r="L157" s="16" t="n">
        <f aca="false">IF(J157=0,0,F157/J157)</f>
        <v>0.807443365695793</v>
      </c>
      <c r="M157" s="16" t="n">
        <f aca="false">IF(F157=0,0,G157/F157)</f>
        <v>0.994488977955912</v>
      </c>
      <c r="N157" s="16" t="n">
        <f aca="false">K157*L157*M157</f>
        <v>0.689236111111111</v>
      </c>
      <c r="O157" s="19" t="n">
        <f aca="false">MONTH(A157)</f>
        <v>7</v>
      </c>
      <c r="P157" s="19" t="n">
        <f aca="false">INT((A157-DATE(2026,7,1))/7)+1</f>
        <v>3</v>
      </c>
    </row>
    <row r="158" customFormat="false" ht="15" hidden="false" customHeight="false" outlineLevel="0" collapsed="false">
      <c r="A158" s="25" t="n">
        <v>46221</v>
      </c>
      <c r="B158" s="26" t="s">
        <v>17</v>
      </c>
      <c r="C158" s="26" t="s">
        <v>72</v>
      </c>
      <c r="D158" s="26" t="n">
        <v>480</v>
      </c>
      <c r="E158" s="26" t="n">
        <v>10</v>
      </c>
      <c r="F158" s="26" t="n">
        <v>2603</v>
      </c>
      <c r="G158" s="26" t="n">
        <v>2497</v>
      </c>
      <c r="H158" s="19" t="n">
        <f aca="false">SUMIFS(Paradas!$E$2:$E$1973,Paradas!$A$2:$A$1973,A158,Paradas!$B$2:$B$1973,B158,Paradas!$C$2:$C$1973,C158)</f>
        <v>183</v>
      </c>
      <c r="I158" s="19" t="n">
        <f aca="false">D158-H158</f>
        <v>297</v>
      </c>
      <c r="J158" s="19" t="n">
        <f aca="false">I158*E158</f>
        <v>2970</v>
      </c>
      <c r="K158" s="16" t="n">
        <f aca="false">IF(D158=0,0,I158/D158)</f>
        <v>0.61875</v>
      </c>
      <c r="L158" s="16" t="n">
        <f aca="false">IF(J158=0,0,F158/J158)</f>
        <v>0.876430976430976</v>
      </c>
      <c r="M158" s="16" t="n">
        <f aca="false">IF(F158=0,0,G158/F158)</f>
        <v>0.959277756434883</v>
      </c>
      <c r="N158" s="16" t="n">
        <f aca="false">K158*L158*M158</f>
        <v>0.520208333333333</v>
      </c>
      <c r="O158" s="19" t="n">
        <f aca="false">MONTH(A158)</f>
        <v>7</v>
      </c>
      <c r="P158" s="19" t="n">
        <f aca="false">INT((A158-DATE(2026,7,1))/7)+1</f>
        <v>3</v>
      </c>
    </row>
    <row r="159" customFormat="false" ht="15" hidden="false" customHeight="false" outlineLevel="0" collapsed="false">
      <c r="A159" s="25" t="n">
        <v>46221</v>
      </c>
      <c r="B159" s="26" t="s">
        <v>17</v>
      </c>
      <c r="C159" s="26" t="s">
        <v>73</v>
      </c>
      <c r="D159" s="26" t="n">
        <v>480</v>
      </c>
      <c r="E159" s="26" t="n">
        <v>10</v>
      </c>
      <c r="F159" s="26" t="n">
        <v>4301</v>
      </c>
      <c r="G159" s="26" t="n">
        <v>4158</v>
      </c>
      <c r="H159" s="19" t="n">
        <f aca="false">SUMIFS(Paradas!$E$2:$E$1973,Paradas!$A$2:$A$1973,A159,Paradas!$B$2:$B$1973,B159,Paradas!$C$2:$C$1973,C159)</f>
        <v>37</v>
      </c>
      <c r="I159" s="19" t="n">
        <f aca="false">D159-H159</f>
        <v>443</v>
      </c>
      <c r="J159" s="19" t="n">
        <f aca="false">I159*E159</f>
        <v>4430</v>
      </c>
      <c r="K159" s="16" t="n">
        <f aca="false">IF(D159=0,0,I159/D159)</f>
        <v>0.922916666666667</v>
      </c>
      <c r="L159" s="16" t="n">
        <f aca="false">IF(J159=0,0,F159/J159)</f>
        <v>0.970880361173815</v>
      </c>
      <c r="M159" s="16" t="n">
        <f aca="false">IF(F159=0,0,G159/F159)</f>
        <v>0.966751918158568</v>
      </c>
      <c r="N159" s="16" t="n">
        <f aca="false">K159*L159*M159</f>
        <v>0.86625</v>
      </c>
      <c r="O159" s="19" t="n">
        <f aca="false">MONTH(A159)</f>
        <v>7</v>
      </c>
      <c r="P159" s="19" t="n">
        <f aca="false">INT((A159-DATE(2026,7,1))/7)+1</f>
        <v>3</v>
      </c>
    </row>
    <row r="160" customFormat="false" ht="15" hidden="false" customHeight="false" outlineLevel="0" collapsed="false">
      <c r="A160" s="25" t="n">
        <v>46221</v>
      </c>
      <c r="B160" s="26" t="s">
        <v>17</v>
      </c>
      <c r="C160" s="26" t="s">
        <v>74</v>
      </c>
      <c r="D160" s="26" t="n">
        <v>480</v>
      </c>
      <c r="E160" s="26" t="n">
        <v>10</v>
      </c>
      <c r="F160" s="26" t="n">
        <v>3822</v>
      </c>
      <c r="G160" s="26" t="n">
        <v>3584</v>
      </c>
      <c r="H160" s="19" t="n">
        <f aca="false">SUMIFS(Paradas!$E$2:$E$1973,Paradas!$A$2:$A$1973,A160,Paradas!$B$2:$B$1973,B160,Paradas!$C$2:$C$1973,C160)</f>
        <v>38</v>
      </c>
      <c r="I160" s="19" t="n">
        <f aca="false">D160-H160</f>
        <v>442</v>
      </c>
      <c r="J160" s="19" t="n">
        <f aca="false">I160*E160</f>
        <v>4420</v>
      </c>
      <c r="K160" s="16" t="n">
        <f aca="false">IF(D160=0,0,I160/D160)</f>
        <v>0.920833333333333</v>
      </c>
      <c r="L160" s="16" t="n">
        <f aca="false">IF(J160=0,0,F160/J160)</f>
        <v>0.864705882352941</v>
      </c>
      <c r="M160" s="16" t="n">
        <f aca="false">IF(F160=0,0,G160/F160)</f>
        <v>0.937728937728938</v>
      </c>
      <c r="N160" s="16" t="n">
        <f aca="false">K160*L160*M160</f>
        <v>0.746666666666667</v>
      </c>
      <c r="O160" s="19" t="n">
        <f aca="false">MONTH(A160)</f>
        <v>7</v>
      </c>
      <c r="P160" s="19" t="n">
        <f aca="false">INT((A160-DATE(2026,7,1))/7)+1</f>
        <v>3</v>
      </c>
    </row>
    <row r="161" customFormat="false" ht="15" hidden="false" customHeight="false" outlineLevel="0" collapsed="false">
      <c r="A161" s="25" t="n">
        <v>46221</v>
      </c>
      <c r="B161" s="26" t="s">
        <v>18</v>
      </c>
      <c r="C161" s="26" t="s">
        <v>72</v>
      </c>
      <c r="D161" s="26" t="n">
        <v>480</v>
      </c>
      <c r="E161" s="26" t="n">
        <v>8</v>
      </c>
      <c r="F161" s="26" t="n">
        <v>2630</v>
      </c>
      <c r="G161" s="26" t="n">
        <v>2523</v>
      </c>
      <c r="H161" s="19" t="n">
        <f aca="false">SUMIFS(Paradas!$E$2:$E$1973,Paradas!$A$2:$A$1973,A161,Paradas!$B$2:$B$1973,B161,Paradas!$C$2:$C$1973,C161)</f>
        <v>127</v>
      </c>
      <c r="I161" s="19" t="n">
        <f aca="false">D161-H161</f>
        <v>353</v>
      </c>
      <c r="J161" s="19" t="n">
        <f aca="false">I161*E161</f>
        <v>2824</v>
      </c>
      <c r="K161" s="16" t="n">
        <f aca="false">IF(D161=0,0,I161/D161)</f>
        <v>0.735416666666667</v>
      </c>
      <c r="L161" s="16" t="n">
        <f aca="false">IF(J161=0,0,F161/J161)</f>
        <v>0.931303116147309</v>
      </c>
      <c r="M161" s="16" t="n">
        <f aca="false">IF(F161=0,0,G161/F161)</f>
        <v>0.959315589353612</v>
      </c>
      <c r="N161" s="16" t="n">
        <f aca="false">K161*L161*M161</f>
        <v>0.65703125</v>
      </c>
      <c r="O161" s="19" t="n">
        <f aca="false">MONTH(A161)</f>
        <v>7</v>
      </c>
      <c r="P161" s="19" t="n">
        <f aca="false">INT((A161-DATE(2026,7,1))/7)+1</f>
        <v>3</v>
      </c>
    </row>
    <row r="162" customFormat="false" ht="15" hidden="false" customHeight="false" outlineLevel="0" collapsed="false">
      <c r="A162" s="25" t="n">
        <v>46221</v>
      </c>
      <c r="B162" s="26" t="s">
        <v>18</v>
      </c>
      <c r="C162" s="26" t="s">
        <v>73</v>
      </c>
      <c r="D162" s="26" t="n">
        <v>480</v>
      </c>
      <c r="E162" s="26" t="n">
        <v>8</v>
      </c>
      <c r="F162" s="26" t="n">
        <v>2717</v>
      </c>
      <c r="G162" s="26" t="n">
        <v>2611</v>
      </c>
      <c r="H162" s="19" t="n">
        <f aca="false">SUMIFS(Paradas!$E$2:$E$1973,Paradas!$A$2:$A$1973,A162,Paradas!$B$2:$B$1973,B162,Paradas!$C$2:$C$1973,C162)</f>
        <v>85</v>
      </c>
      <c r="I162" s="19" t="n">
        <f aca="false">D162-H162</f>
        <v>395</v>
      </c>
      <c r="J162" s="19" t="n">
        <f aca="false">I162*E162</f>
        <v>3160</v>
      </c>
      <c r="K162" s="16" t="n">
        <f aca="false">IF(D162=0,0,I162/D162)</f>
        <v>0.822916666666667</v>
      </c>
      <c r="L162" s="16" t="n">
        <f aca="false">IF(J162=0,0,F162/J162)</f>
        <v>0.859810126582279</v>
      </c>
      <c r="M162" s="16" t="n">
        <f aca="false">IF(F162=0,0,G162/F162)</f>
        <v>0.960986382039014</v>
      </c>
      <c r="N162" s="16" t="n">
        <f aca="false">K162*L162*M162</f>
        <v>0.679947916666667</v>
      </c>
      <c r="O162" s="19" t="n">
        <f aca="false">MONTH(A162)</f>
        <v>7</v>
      </c>
      <c r="P162" s="19" t="n">
        <f aca="false">INT((A162-DATE(2026,7,1))/7)+1</f>
        <v>3</v>
      </c>
    </row>
    <row r="163" customFormat="false" ht="15" hidden="false" customHeight="false" outlineLevel="0" collapsed="false">
      <c r="A163" s="25" t="n">
        <v>46221</v>
      </c>
      <c r="B163" s="26" t="s">
        <v>18</v>
      </c>
      <c r="C163" s="26" t="s">
        <v>74</v>
      </c>
      <c r="D163" s="26" t="n">
        <v>480</v>
      </c>
      <c r="E163" s="26" t="n">
        <v>8</v>
      </c>
      <c r="F163" s="26" t="n">
        <v>2874</v>
      </c>
      <c r="G163" s="26" t="n">
        <v>2792</v>
      </c>
      <c r="H163" s="19" t="n">
        <f aca="false">SUMIFS(Paradas!$E$2:$E$1973,Paradas!$A$2:$A$1973,A163,Paradas!$B$2:$B$1973,B163,Paradas!$C$2:$C$1973,C163)</f>
        <v>41</v>
      </c>
      <c r="I163" s="19" t="n">
        <f aca="false">D163-H163</f>
        <v>439</v>
      </c>
      <c r="J163" s="19" t="n">
        <f aca="false">I163*E163</f>
        <v>3512</v>
      </c>
      <c r="K163" s="16" t="n">
        <f aca="false">IF(D163=0,0,I163/D163)</f>
        <v>0.914583333333333</v>
      </c>
      <c r="L163" s="16" t="n">
        <f aca="false">IF(J163=0,0,F163/J163)</f>
        <v>0.818337129840547</v>
      </c>
      <c r="M163" s="16" t="n">
        <f aca="false">IF(F163=0,0,G163/F163)</f>
        <v>0.971468336812804</v>
      </c>
      <c r="N163" s="16" t="n">
        <f aca="false">K163*L163*M163</f>
        <v>0.727083333333333</v>
      </c>
      <c r="O163" s="19" t="n">
        <f aca="false">MONTH(A163)</f>
        <v>7</v>
      </c>
      <c r="P163" s="19" t="n">
        <f aca="false">INT((A163-DATE(2026,7,1))/7)+1</f>
        <v>3</v>
      </c>
    </row>
    <row r="164" customFormat="false" ht="15" hidden="false" customHeight="false" outlineLevel="0" collapsed="false">
      <c r="A164" s="25" t="n">
        <v>46222</v>
      </c>
      <c r="B164" s="26" t="s">
        <v>16</v>
      </c>
      <c r="C164" s="26" t="s">
        <v>72</v>
      </c>
      <c r="D164" s="26" t="n">
        <v>480</v>
      </c>
      <c r="E164" s="26" t="n">
        <v>12</v>
      </c>
      <c r="F164" s="26" t="n">
        <v>4666</v>
      </c>
      <c r="G164" s="26" t="n">
        <v>4536</v>
      </c>
      <c r="H164" s="19" t="n">
        <f aca="false">SUMIFS(Paradas!$E$2:$E$1973,Paradas!$A$2:$A$1973,A164,Paradas!$B$2:$B$1973,B164,Paradas!$C$2:$C$1973,C164)</f>
        <v>46</v>
      </c>
      <c r="I164" s="19" t="n">
        <f aca="false">D164-H164</f>
        <v>434</v>
      </c>
      <c r="J164" s="19" t="n">
        <f aca="false">I164*E164</f>
        <v>5208</v>
      </c>
      <c r="K164" s="16" t="n">
        <f aca="false">IF(D164=0,0,I164/D164)</f>
        <v>0.904166666666667</v>
      </c>
      <c r="L164" s="16" t="n">
        <f aca="false">IF(J164=0,0,F164/J164)</f>
        <v>0.895929339477727</v>
      </c>
      <c r="M164" s="16" t="n">
        <f aca="false">IF(F164=0,0,G164/F164)</f>
        <v>0.972138876982426</v>
      </c>
      <c r="N164" s="16" t="n">
        <f aca="false">K164*L164*M164</f>
        <v>0.7875</v>
      </c>
      <c r="O164" s="19" t="n">
        <f aca="false">MONTH(A164)</f>
        <v>7</v>
      </c>
      <c r="P164" s="19" t="n">
        <f aca="false">INT((A164-DATE(2026,7,1))/7)+1</f>
        <v>3</v>
      </c>
    </row>
    <row r="165" customFormat="false" ht="15" hidden="false" customHeight="false" outlineLevel="0" collapsed="false">
      <c r="A165" s="25" t="n">
        <v>46222</v>
      </c>
      <c r="B165" s="26" t="s">
        <v>16</v>
      </c>
      <c r="C165" s="26" t="s">
        <v>73</v>
      </c>
      <c r="D165" s="26" t="n">
        <v>480</v>
      </c>
      <c r="E165" s="26" t="n">
        <v>12</v>
      </c>
      <c r="F165" s="26" t="n">
        <v>4958</v>
      </c>
      <c r="G165" s="26" t="n">
        <v>4886</v>
      </c>
      <c r="H165" s="19" t="n">
        <f aca="false">SUMIFS(Paradas!$E$2:$E$1973,Paradas!$A$2:$A$1973,A165,Paradas!$B$2:$B$1973,B165,Paradas!$C$2:$C$1973,C165)</f>
        <v>12</v>
      </c>
      <c r="I165" s="19" t="n">
        <f aca="false">D165-H165</f>
        <v>468</v>
      </c>
      <c r="J165" s="19" t="n">
        <f aca="false">I165*E165</f>
        <v>5616</v>
      </c>
      <c r="K165" s="16" t="n">
        <f aca="false">IF(D165=0,0,I165/D165)</f>
        <v>0.975</v>
      </c>
      <c r="L165" s="16" t="n">
        <f aca="false">IF(J165=0,0,F165/J165)</f>
        <v>0.882834757834758</v>
      </c>
      <c r="M165" s="16" t="n">
        <f aca="false">IF(F165=0,0,G165/F165)</f>
        <v>0.985478015328762</v>
      </c>
      <c r="N165" s="16" t="n">
        <f aca="false">K165*L165*M165</f>
        <v>0.848263888888889</v>
      </c>
      <c r="O165" s="19" t="n">
        <f aca="false">MONTH(A165)</f>
        <v>7</v>
      </c>
      <c r="P165" s="19" t="n">
        <f aca="false">INT((A165-DATE(2026,7,1))/7)+1</f>
        <v>3</v>
      </c>
    </row>
    <row r="166" customFormat="false" ht="15" hidden="false" customHeight="false" outlineLevel="0" collapsed="false">
      <c r="A166" s="25" t="n">
        <v>46222</v>
      </c>
      <c r="B166" s="26" t="s">
        <v>16</v>
      </c>
      <c r="C166" s="26" t="s">
        <v>74</v>
      </c>
      <c r="D166" s="26" t="n">
        <v>480</v>
      </c>
      <c r="E166" s="26" t="n">
        <v>12</v>
      </c>
      <c r="F166" s="26" t="n">
        <v>4312</v>
      </c>
      <c r="G166" s="26" t="n">
        <v>4159</v>
      </c>
      <c r="H166" s="19" t="n">
        <f aca="false">SUMIFS(Paradas!$E$2:$E$1973,Paradas!$A$2:$A$1973,A166,Paradas!$B$2:$B$1973,B166,Paradas!$C$2:$C$1973,C166)</f>
        <v>25</v>
      </c>
      <c r="I166" s="19" t="n">
        <f aca="false">D166-H166</f>
        <v>455</v>
      </c>
      <c r="J166" s="19" t="n">
        <f aca="false">I166*E166</f>
        <v>5460</v>
      </c>
      <c r="K166" s="16" t="n">
        <f aca="false">IF(D166=0,0,I166/D166)</f>
        <v>0.947916666666667</v>
      </c>
      <c r="L166" s="16" t="n">
        <f aca="false">IF(J166=0,0,F166/J166)</f>
        <v>0.78974358974359</v>
      </c>
      <c r="M166" s="16" t="n">
        <f aca="false">IF(F166=0,0,G166/F166)</f>
        <v>0.964517625231911</v>
      </c>
      <c r="N166" s="16" t="n">
        <f aca="false">K166*L166*M166</f>
        <v>0.722048611111111</v>
      </c>
      <c r="O166" s="19" t="n">
        <f aca="false">MONTH(A166)</f>
        <v>7</v>
      </c>
      <c r="P166" s="19" t="n">
        <f aca="false">INT((A166-DATE(2026,7,1))/7)+1</f>
        <v>3</v>
      </c>
    </row>
    <row r="167" customFormat="false" ht="15" hidden="false" customHeight="false" outlineLevel="0" collapsed="false">
      <c r="A167" s="25" t="n">
        <v>46222</v>
      </c>
      <c r="B167" s="26" t="s">
        <v>17</v>
      </c>
      <c r="C167" s="26" t="s">
        <v>72</v>
      </c>
      <c r="D167" s="26" t="n">
        <v>480</v>
      </c>
      <c r="E167" s="26" t="n">
        <v>10</v>
      </c>
      <c r="F167" s="26" t="n">
        <v>3037</v>
      </c>
      <c r="G167" s="26" t="n">
        <v>2874</v>
      </c>
      <c r="H167" s="19" t="n">
        <f aca="false">SUMIFS(Paradas!$E$2:$E$1973,Paradas!$A$2:$A$1973,A167,Paradas!$B$2:$B$1973,B167,Paradas!$C$2:$C$1973,C167)</f>
        <v>148</v>
      </c>
      <c r="I167" s="19" t="n">
        <f aca="false">D167-H167</f>
        <v>332</v>
      </c>
      <c r="J167" s="19" t="n">
        <f aca="false">I167*E167</f>
        <v>3320</v>
      </c>
      <c r="K167" s="16" t="n">
        <f aca="false">IF(D167=0,0,I167/D167)</f>
        <v>0.691666666666667</v>
      </c>
      <c r="L167" s="16" t="n">
        <f aca="false">IF(J167=0,0,F167/J167)</f>
        <v>0.914759036144578</v>
      </c>
      <c r="M167" s="16" t="n">
        <f aca="false">IF(F167=0,0,G167/F167)</f>
        <v>0.946328613763583</v>
      </c>
      <c r="N167" s="16" t="n">
        <f aca="false">K167*L167*M167</f>
        <v>0.59875</v>
      </c>
      <c r="O167" s="19" t="n">
        <f aca="false">MONTH(A167)</f>
        <v>7</v>
      </c>
      <c r="P167" s="19" t="n">
        <f aca="false">INT((A167-DATE(2026,7,1))/7)+1</f>
        <v>3</v>
      </c>
    </row>
    <row r="168" customFormat="false" ht="15" hidden="false" customHeight="false" outlineLevel="0" collapsed="false">
      <c r="A168" s="25" t="n">
        <v>46222</v>
      </c>
      <c r="B168" s="26" t="s">
        <v>17</v>
      </c>
      <c r="C168" s="26" t="s">
        <v>73</v>
      </c>
      <c r="D168" s="26" t="n">
        <v>480</v>
      </c>
      <c r="E168" s="26" t="n">
        <v>10</v>
      </c>
      <c r="F168" s="26" t="n">
        <v>3886</v>
      </c>
      <c r="G168" s="26" t="n">
        <v>3710</v>
      </c>
      <c r="H168" s="19" t="n">
        <f aca="false">SUMIFS(Paradas!$E$2:$E$1973,Paradas!$A$2:$A$1973,A168,Paradas!$B$2:$B$1973,B168,Paradas!$C$2:$C$1973,C168)</f>
        <v>42</v>
      </c>
      <c r="I168" s="19" t="n">
        <f aca="false">D168-H168</f>
        <v>438</v>
      </c>
      <c r="J168" s="19" t="n">
        <f aca="false">I168*E168</f>
        <v>4380</v>
      </c>
      <c r="K168" s="16" t="n">
        <f aca="false">IF(D168=0,0,I168/D168)</f>
        <v>0.9125</v>
      </c>
      <c r="L168" s="16" t="n">
        <f aca="false">IF(J168=0,0,F168/J168)</f>
        <v>0.887214611872146</v>
      </c>
      <c r="M168" s="16" t="n">
        <f aca="false">IF(F168=0,0,G168/F168)</f>
        <v>0.9547092125579</v>
      </c>
      <c r="N168" s="16" t="n">
        <f aca="false">K168*L168*M168</f>
        <v>0.772916666666667</v>
      </c>
      <c r="O168" s="19" t="n">
        <f aca="false">MONTH(A168)</f>
        <v>7</v>
      </c>
      <c r="P168" s="19" t="n">
        <f aca="false">INT((A168-DATE(2026,7,1))/7)+1</f>
        <v>3</v>
      </c>
    </row>
    <row r="169" customFormat="false" ht="15" hidden="false" customHeight="false" outlineLevel="0" collapsed="false">
      <c r="A169" s="25" t="n">
        <v>46222</v>
      </c>
      <c r="B169" s="26" t="s">
        <v>17</v>
      </c>
      <c r="C169" s="26" t="s">
        <v>74</v>
      </c>
      <c r="D169" s="26" t="n">
        <v>480</v>
      </c>
      <c r="E169" s="26" t="n">
        <v>10</v>
      </c>
      <c r="F169" s="26" t="n">
        <v>3601</v>
      </c>
      <c r="G169" s="26" t="n">
        <v>3479</v>
      </c>
      <c r="H169" s="19" t="n">
        <f aca="false">SUMIFS(Paradas!$E$2:$E$1973,Paradas!$A$2:$A$1973,A169,Paradas!$B$2:$B$1973,B169,Paradas!$C$2:$C$1973,C169)</f>
        <v>47</v>
      </c>
      <c r="I169" s="19" t="n">
        <f aca="false">D169-H169</f>
        <v>433</v>
      </c>
      <c r="J169" s="19" t="n">
        <f aca="false">I169*E169</f>
        <v>4330</v>
      </c>
      <c r="K169" s="16" t="n">
        <f aca="false">IF(D169=0,0,I169/D169)</f>
        <v>0.902083333333333</v>
      </c>
      <c r="L169" s="16" t="n">
        <f aca="false">IF(J169=0,0,F169/J169)</f>
        <v>0.831639722863741</v>
      </c>
      <c r="M169" s="16" t="n">
        <f aca="false">IF(F169=0,0,G169/F169)</f>
        <v>0.966120522077201</v>
      </c>
      <c r="N169" s="16" t="n">
        <f aca="false">K169*L169*M169</f>
        <v>0.724791666666667</v>
      </c>
      <c r="O169" s="19" t="n">
        <f aca="false">MONTH(A169)</f>
        <v>7</v>
      </c>
      <c r="P169" s="19" t="n">
        <f aca="false">INT((A169-DATE(2026,7,1))/7)+1</f>
        <v>3</v>
      </c>
    </row>
    <row r="170" customFormat="false" ht="15" hidden="false" customHeight="false" outlineLevel="0" collapsed="false">
      <c r="A170" s="25" t="n">
        <v>46222</v>
      </c>
      <c r="B170" s="26" t="s">
        <v>18</v>
      </c>
      <c r="C170" s="26" t="s">
        <v>72</v>
      </c>
      <c r="D170" s="26" t="n">
        <v>480</v>
      </c>
      <c r="E170" s="26" t="n">
        <v>8</v>
      </c>
      <c r="F170" s="26" t="n">
        <v>3279</v>
      </c>
      <c r="G170" s="26" t="n">
        <v>3157</v>
      </c>
      <c r="H170" s="19" t="n">
        <f aca="false">SUMIFS(Paradas!$E$2:$E$1973,Paradas!$A$2:$A$1973,A170,Paradas!$B$2:$B$1973,B170,Paradas!$C$2:$C$1973,C170)</f>
        <v>30</v>
      </c>
      <c r="I170" s="19" t="n">
        <f aca="false">D170-H170</f>
        <v>450</v>
      </c>
      <c r="J170" s="19" t="n">
        <f aca="false">I170*E170</f>
        <v>3600</v>
      </c>
      <c r="K170" s="16" t="n">
        <f aca="false">IF(D170=0,0,I170/D170)</f>
        <v>0.9375</v>
      </c>
      <c r="L170" s="16" t="n">
        <f aca="false">IF(J170=0,0,F170/J170)</f>
        <v>0.910833333333333</v>
      </c>
      <c r="M170" s="16" t="n">
        <f aca="false">IF(F170=0,0,G170/F170)</f>
        <v>0.962793534614212</v>
      </c>
      <c r="N170" s="16" t="n">
        <f aca="false">K170*L170*M170</f>
        <v>0.822135416666667</v>
      </c>
      <c r="O170" s="19" t="n">
        <f aca="false">MONTH(A170)</f>
        <v>7</v>
      </c>
      <c r="P170" s="19" t="n">
        <f aca="false">INT((A170-DATE(2026,7,1))/7)+1</f>
        <v>3</v>
      </c>
    </row>
    <row r="171" customFormat="false" ht="15" hidden="false" customHeight="false" outlineLevel="0" collapsed="false">
      <c r="A171" s="25" t="n">
        <v>46222</v>
      </c>
      <c r="B171" s="26" t="s">
        <v>18</v>
      </c>
      <c r="C171" s="26" t="s">
        <v>73</v>
      </c>
      <c r="D171" s="26" t="n">
        <v>480</v>
      </c>
      <c r="E171" s="26" t="n">
        <v>8</v>
      </c>
      <c r="F171" s="26" t="n">
        <v>2794</v>
      </c>
      <c r="G171" s="26" t="n">
        <v>2690</v>
      </c>
      <c r="H171" s="19" t="n">
        <f aca="false">SUMIFS(Paradas!$E$2:$E$1973,Paradas!$A$2:$A$1973,A171,Paradas!$B$2:$B$1973,B171,Paradas!$C$2:$C$1973,C171)</f>
        <v>91</v>
      </c>
      <c r="I171" s="19" t="n">
        <f aca="false">D171-H171</f>
        <v>389</v>
      </c>
      <c r="J171" s="19" t="n">
        <f aca="false">I171*E171</f>
        <v>3112</v>
      </c>
      <c r="K171" s="16" t="n">
        <f aca="false">IF(D171=0,0,I171/D171)</f>
        <v>0.810416666666667</v>
      </c>
      <c r="L171" s="16" t="n">
        <f aca="false">IF(J171=0,0,F171/J171)</f>
        <v>0.897814910025707</v>
      </c>
      <c r="M171" s="16" t="n">
        <f aca="false">IF(F171=0,0,G171/F171)</f>
        <v>0.962777380100215</v>
      </c>
      <c r="N171" s="16" t="n">
        <f aca="false">K171*L171*M171</f>
        <v>0.700520833333333</v>
      </c>
      <c r="O171" s="19" t="n">
        <f aca="false">MONTH(A171)</f>
        <v>7</v>
      </c>
      <c r="P171" s="19" t="n">
        <f aca="false">INT((A171-DATE(2026,7,1))/7)+1</f>
        <v>3</v>
      </c>
    </row>
    <row r="172" customFormat="false" ht="15" hidden="false" customHeight="false" outlineLevel="0" collapsed="false">
      <c r="A172" s="25" t="n">
        <v>46222</v>
      </c>
      <c r="B172" s="26" t="s">
        <v>18</v>
      </c>
      <c r="C172" s="26" t="s">
        <v>74</v>
      </c>
      <c r="D172" s="26" t="n">
        <v>480</v>
      </c>
      <c r="E172" s="26" t="n">
        <v>8</v>
      </c>
      <c r="F172" s="26" t="n">
        <v>3383</v>
      </c>
      <c r="G172" s="26" t="n">
        <v>3260</v>
      </c>
      <c r="H172" s="19" t="n">
        <f aca="false">SUMIFS(Paradas!$E$2:$E$1973,Paradas!$A$2:$A$1973,A172,Paradas!$B$2:$B$1973,B172,Paradas!$C$2:$C$1973,C172)</f>
        <v>0</v>
      </c>
      <c r="I172" s="19" t="n">
        <f aca="false">D172-H172</f>
        <v>480</v>
      </c>
      <c r="J172" s="19" t="n">
        <f aca="false">I172*E172</f>
        <v>3840</v>
      </c>
      <c r="K172" s="16" t="n">
        <f aca="false">IF(D172=0,0,I172/D172)</f>
        <v>1</v>
      </c>
      <c r="L172" s="16" t="n">
        <f aca="false">IF(J172=0,0,F172/J172)</f>
        <v>0.880989583333333</v>
      </c>
      <c r="M172" s="16" t="n">
        <f aca="false">IF(F172=0,0,G172/F172)</f>
        <v>0.963641738102276</v>
      </c>
      <c r="N172" s="16" t="n">
        <f aca="false">K172*L172*M172</f>
        <v>0.848958333333333</v>
      </c>
      <c r="O172" s="19" t="n">
        <f aca="false">MONTH(A172)</f>
        <v>7</v>
      </c>
      <c r="P172" s="19" t="n">
        <f aca="false">INT((A172-DATE(2026,7,1))/7)+1</f>
        <v>3</v>
      </c>
    </row>
    <row r="173" customFormat="false" ht="15" hidden="false" customHeight="false" outlineLevel="0" collapsed="false">
      <c r="A173" s="25" t="n">
        <v>46223</v>
      </c>
      <c r="B173" s="26" t="s">
        <v>16</v>
      </c>
      <c r="C173" s="26" t="s">
        <v>72</v>
      </c>
      <c r="D173" s="26" t="n">
        <v>480</v>
      </c>
      <c r="E173" s="26" t="n">
        <v>12</v>
      </c>
      <c r="F173" s="26" t="n">
        <v>4920</v>
      </c>
      <c r="G173" s="26" t="n">
        <v>4792</v>
      </c>
      <c r="H173" s="19" t="n">
        <f aca="false">SUMIFS(Paradas!$E$2:$E$1973,Paradas!$A$2:$A$1973,A173,Paradas!$B$2:$B$1973,B173,Paradas!$C$2:$C$1973,C173)</f>
        <v>60</v>
      </c>
      <c r="I173" s="19" t="n">
        <f aca="false">D173-H173</f>
        <v>420</v>
      </c>
      <c r="J173" s="19" t="n">
        <f aca="false">I173*E173</f>
        <v>5040</v>
      </c>
      <c r="K173" s="16" t="n">
        <f aca="false">IF(D173=0,0,I173/D173)</f>
        <v>0.875</v>
      </c>
      <c r="L173" s="16" t="n">
        <f aca="false">IF(J173=0,0,F173/J173)</f>
        <v>0.976190476190476</v>
      </c>
      <c r="M173" s="16" t="n">
        <f aca="false">IF(F173=0,0,G173/F173)</f>
        <v>0.973983739837398</v>
      </c>
      <c r="N173" s="16" t="n">
        <f aca="false">K173*L173*M173</f>
        <v>0.831944444444444</v>
      </c>
      <c r="O173" s="19" t="n">
        <f aca="false">MONTH(A173)</f>
        <v>7</v>
      </c>
      <c r="P173" s="19" t="n">
        <f aca="false">INT((A173-DATE(2026,7,1))/7)+1</f>
        <v>3</v>
      </c>
    </row>
    <row r="174" customFormat="false" ht="15" hidden="false" customHeight="false" outlineLevel="0" collapsed="false">
      <c r="A174" s="25" t="n">
        <v>46223</v>
      </c>
      <c r="B174" s="26" t="s">
        <v>16</v>
      </c>
      <c r="C174" s="26" t="s">
        <v>73</v>
      </c>
      <c r="D174" s="26" t="n">
        <v>480</v>
      </c>
      <c r="E174" s="26" t="n">
        <v>12</v>
      </c>
      <c r="F174" s="26" t="n">
        <v>3969</v>
      </c>
      <c r="G174" s="26" t="n">
        <v>3796</v>
      </c>
      <c r="H174" s="19" t="n">
        <f aca="false">SUMIFS(Paradas!$E$2:$E$1973,Paradas!$A$2:$A$1973,A174,Paradas!$B$2:$B$1973,B174,Paradas!$C$2:$C$1973,C174)</f>
        <v>109</v>
      </c>
      <c r="I174" s="19" t="n">
        <f aca="false">D174-H174</f>
        <v>371</v>
      </c>
      <c r="J174" s="19" t="n">
        <f aca="false">I174*E174</f>
        <v>4452</v>
      </c>
      <c r="K174" s="16" t="n">
        <f aca="false">IF(D174=0,0,I174/D174)</f>
        <v>0.772916666666667</v>
      </c>
      <c r="L174" s="16" t="n">
        <f aca="false">IF(J174=0,0,F174/J174)</f>
        <v>0.891509433962264</v>
      </c>
      <c r="M174" s="16" t="n">
        <f aca="false">IF(F174=0,0,G174/F174)</f>
        <v>0.956412194507433</v>
      </c>
      <c r="N174" s="16" t="n">
        <f aca="false">K174*L174*M174</f>
        <v>0.659027777777778</v>
      </c>
      <c r="O174" s="19" t="n">
        <f aca="false">MONTH(A174)</f>
        <v>7</v>
      </c>
      <c r="P174" s="19" t="n">
        <f aca="false">INT((A174-DATE(2026,7,1))/7)+1</f>
        <v>3</v>
      </c>
    </row>
    <row r="175" customFormat="false" ht="15" hidden="false" customHeight="false" outlineLevel="0" collapsed="false">
      <c r="A175" s="25" t="n">
        <v>46223</v>
      </c>
      <c r="B175" s="26" t="s">
        <v>16</v>
      </c>
      <c r="C175" s="26" t="s">
        <v>74</v>
      </c>
      <c r="D175" s="26" t="n">
        <v>480</v>
      </c>
      <c r="E175" s="26" t="n">
        <v>12</v>
      </c>
      <c r="F175" s="26" t="n">
        <v>4638</v>
      </c>
      <c r="G175" s="26" t="n">
        <v>4555</v>
      </c>
      <c r="H175" s="19" t="n">
        <f aca="false">SUMIFS(Paradas!$E$2:$E$1973,Paradas!$A$2:$A$1973,A175,Paradas!$B$2:$B$1973,B175,Paradas!$C$2:$C$1973,C175)</f>
        <v>21</v>
      </c>
      <c r="I175" s="19" t="n">
        <f aca="false">D175-H175</f>
        <v>459</v>
      </c>
      <c r="J175" s="19" t="n">
        <f aca="false">I175*E175</f>
        <v>5508</v>
      </c>
      <c r="K175" s="16" t="n">
        <f aca="false">IF(D175=0,0,I175/D175)</f>
        <v>0.95625</v>
      </c>
      <c r="L175" s="16" t="n">
        <f aca="false">IF(J175=0,0,F175/J175)</f>
        <v>0.842047930283224</v>
      </c>
      <c r="M175" s="16" t="n">
        <f aca="false">IF(F175=0,0,G175/F175)</f>
        <v>0.982104355325571</v>
      </c>
      <c r="N175" s="16" t="n">
        <f aca="false">K175*L175*M175</f>
        <v>0.790798611111111</v>
      </c>
      <c r="O175" s="19" t="n">
        <f aca="false">MONTH(A175)</f>
        <v>7</v>
      </c>
      <c r="P175" s="19" t="n">
        <f aca="false">INT((A175-DATE(2026,7,1))/7)+1</f>
        <v>3</v>
      </c>
    </row>
    <row r="176" customFormat="false" ht="15" hidden="false" customHeight="false" outlineLevel="0" collapsed="false">
      <c r="A176" s="25" t="n">
        <v>46223</v>
      </c>
      <c r="B176" s="26" t="s">
        <v>17</v>
      </c>
      <c r="C176" s="26" t="s">
        <v>72</v>
      </c>
      <c r="D176" s="26" t="n">
        <v>480</v>
      </c>
      <c r="E176" s="26" t="n">
        <v>10</v>
      </c>
      <c r="F176" s="26" t="n">
        <v>3969</v>
      </c>
      <c r="G176" s="26" t="n">
        <v>3837</v>
      </c>
      <c r="H176" s="19" t="n">
        <f aca="false">SUMIFS(Paradas!$E$2:$E$1973,Paradas!$A$2:$A$1973,A176,Paradas!$B$2:$B$1973,B176,Paradas!$C$2:$C$1973,C176)</f>
        <v>38</v>
      </c>
      <c r="I176" s="19" t="n">
        <f aca="false">D176-H176</f>
        <v>442</v>
      </c>
      <c r="J176" s="19" t="n">
        <f aca="false">I176*E176</f>
        <v>4420</v>
      </c>
      <c r="K176" s="16" t="n">
        <f aca="false">IF(D176=0,0,I176/D176)</f>
        <v>0.920833333333333</v>
      </c>
      <c r="L176" s="16" t="n">
        <f aca="false">IF(J176=0,0,F176/J176)</f>
        <v>0.897963800904977</v>
      </c>
      <c r="M176" s="16" t="n">
        <f aca="false">IF(F176=0,0,G176/F176)</f>
        <v>0.966742252456538</v>
      </c>
      <c r="N176" s="16" t="n">
        <f aca="false">K176*L176*M176</f>
        <v>0.799375</v>
      </c>
      <c r="O176" s="19" t="n">
        <f aca="false">MONTH(A176)</f>
        <v>7</v>
      </c>
      <c r="P176" s="19" t="n">
        <f aca="false">INT((A176-DATE(2026,7,1))/7)+1</f>
        <v>3</v>
      </c>
    </row>
    <row r="177" customFormat="false" ht="15" hidden="false" customHeight="false" outlineLevel="0" collapsed="false">
      <c r="A177" s="25" t="n">
        <v>46223</v>
      </c>
      <c r="B177" s="26" t="s">
        <v>17</v>
      </c>
      <c r="C177" s="26" t="s">
        <v>73</v>
      </c>
      <c r="D177" s="26" t="n">
        <v>480</v>
      </c>
      <c r="E177" s="26" t="n">
        <v>10</v>
      </c>
      <c r="F177" s="26" t="n">
        <v>3011</v>
      </c>
      <c r="G177" s="26" t="n">
        <v>2841</v>
      </c>
      <c r="H177" s="19" t="n">
        <f aca="false">SUMIFS(Paradas!$E$2:$E$1973,Paradas!$A$2:$A$1973,A177,Paradas!$B$2:$B$1973,B177,Paradas!$C$2:$C$1973,C177)</f>
        <v>140</v>
      </c>
      <c r="I177" s="19" t="n">
        <f aca="false">D177-H177</f>
        <v>340</v>
      </c>
      <c r="J177" s="19" t="n">
        <f aca="false">I177*E177</f>
        <v>3400</v>
      </c>
      <c r="K177" s="16" t="n">
        <f aca="false">IF(D177=0,0,I177/D177)</f>
        <v>0.708333333333333</v>
      </c>
      <c r="L177" s="16" t="n">
        <f aca="false">IF(J177=0,0,F177/J177)</f>
        <v>0.885588235294118</v>
      </c>
      <c r="M177" s="16" t="n">
        <f aca="false">IF(F177=0,0,G177/F177)</f>
        <v>0.943540352042511</v>
      </c>
      <c r="N177" s="16" t="n">
        <f aca="false">K177*L177*M177</f>
        <v>0.591875</v>
      </c>
      <c r="O177" s="19" t="n">
        <f aca="false">MONTH(A177)</f>
        <v>7</v>
      </c>
      <c r="P177" s="19" t="n">
        <f aca="false">INT((A177-DATE(2026,7,1))/7)+1</f>
        <v>3</v>
      </c>
    </row>
    <row r="178" customFormat="false" ht="15" hidden="false" customHeight="false" outlineLevel="0" collapsed="false">
      <c r="A178" s="25" t="n">
        <v>46223</v>
      </c>
      <c r="B178" s="26" t="s">
        <v>17</v>
      </c>
      <c r="C178" s="26" t="s">
        <v>74</v>
      </c>
      <c r="D178" s="26" t="n">
        <v>480</v>
      </c>
      <c r="E178" s="26" t="n">
        <v>10</v>
      </c>
      <c r="F178" s="26" t="n">
        <v>3263</v>
      </c>
      <c r="G178" s="26" t="n">
        <v>3131</v>
      </c>
      <c r="H178" s="19" t="n">
        <f aca="false">SUMIFS(Paradas!$E$2:$E$1973,Paradas!$A$2:$A$1973,A178,Paradas!$B$2:$B$1973,B178,Paradas!$C$2:$C$1973,C178)</f>
        <v>81</v>
      </c>
      <c r="I178" s="19" t="n">
        <f aca="false">D178-H178</f>
        <v>399</v>
      </c>
      <c r="J178" s="19" t="n">
        <f aca="false">I178*E178</f>
        <v>3990</v>
      </c>
      <c r="K178" s="16" t="n">
        <f aca="false">IF(D178=0,0,I178/D178)</f>
        <v>0.83125</v>
      </c>
      <c r="L178" s="16" t="n">
        <f aca="false">IF(J178=0,0,F178/J178)</f>
        <v>0.817794486215539</v>
      </c>
      <c r="M178" s="16" t="n">
        <f aca="false">IF(F178=0,0,G178/F178)</f>
        <v>0.959546429665952</v>
      </c>
      <c r="N178" s="16" t="n">
        <f aca="false">K178*L178*M178</f>
        <v>0.652291666666667</v>
      </c>
      <c r="O178" s="19" t="n">
        <f aca="false">MONTH(A178)</f>
        <v>7</v>
      </c>
      <c r="P178" s="19" t="n">
        <f aca="false">INT((A178-DATE(2026,7,1))/7)+1</f>
        <v>3</v>
      </c>
    </row>
    <row r="179" customFormat="false" ht="15" hidden="false" customHeight="false" outlineLevel="0" collapsed="false">
      <c r="A179" s="25" t="n">
        <v>46223</v>
      </c>
      <c r="B179" s="26" t="s">
        <v>18</v>
      </c>
      <c r="C179" s="26" t="s">
        <v>72</v>
      </c>
      <c r="D179" s="26" t="n">
        <v>480</v>
      </c>
      <c r="E179" s="26" t="n">
        <v>8</v>
      </c>
      <c r="F179" s="26" t="n">
        <v>2908</v>
      </c>
      <c r="G179" s="26" t="n">
        <v>2830</v>
      </c>
      <c r="H179" s="19" t="n">
        <f aca="false">SUMIFS(Paradas!$E$2:$E$1973,Paradas!$A$2:$A$1973,A179,Paradas!$B$2:$B$1973,B179,Paradas!$C$2:$C$1973,C179)</f>
        <v>92</v>
      </c>
      <c r="I179" s="19" t="n">
        <f aca="false">D179-H179</f>
        <v>388</v>
      </c>
      <c r="J179" s="19" t="n">
        <f aca="false">I179*E179</f>
        <v>3104</v>
      </c>
      <c r="K179" s="16" t="n">
        <f aca="false">IF(D179=0,0,I179/D179)</f>
        <v>0.808333333333333</v>
      </c>
      <c r="L179" s="16" t="n">
        <f aca="false">IF(J179=0,0,F179/J179)</f>
        <v>0.936855670103093</v>
      </c>
      <c r="M179" s="16" t="n">
        <f aca="false">IF(F179=0,0,G179/F179)</f>
        <v>0.973177441540578</v>
      </c>
      <c r="N179" s="16" t="n">
        <f aca="false">K179*L179*M179</f>
        <v>0.736979166666667</v>
      </c>
      <c r="O179" s="19" t="n">
        <f aca="false">MONTH(A179)</f>
        <v>7</v>
      </c>
      <c r="P179" s="19" t="n">
        <f aca="false">INT((A179-DATE(2026,7,1))/7)+1</f>
        <v>3</v>
      </c>
    </row>
    <row r="180" customFormat="false" ht="15" hidden="false" customHeight="false" outlineLevel="0" collapsed="false">
      <c r="A180" s="25" t="n">
        <v>46223</v>
      </c>
      <c r="B180" s="26" t="s">
        <v>18</v>
      </c>
      <c r="C180" s="26" t="s">
        <v>73</v>
      </c>
      <c r="D180" s="26" t="n">
        <v>480</v>
      </c>
      <c r="E180" s="26" t="n">
        <v>8</v>
      </c>
      <c r="F180" s="26" t="n">
        <v>2978</v>
      </c>
      <c r="G180" s="26" t="n">
        <v>2897</v>
      </c>
      <c r="H180" s="19" t="n">
        <f aca="false">SUMIFS(Paradas!$E$2:$E$1973,Paradas!$A$2:$A$1973,A180,Paradas!$B$2:$B$1973,B180,Paradas!$C$2:$C$1973,C180)</f>
        <v>69</v>
      </c>
      <c r="I180" s="19" t="n">
        <f aca="false">D180-H180</f>
        <v>411</v>
      </c>
      <c r="J180" s="19" t="n">
        <f aca="false">I180*E180</f>
        <v>3288</v>
      </c>
      <c r="K180" s="16" t="n">
        <f aca="false">IF(D180=0,0,I180/D180)</f>
        <v>0.85625</v>
      </c>
      <c r="L180" s="16" t="n">
        <f aca="false">IF(J180=0,0,F180/J180)</f>
        <v>0.905717761557178</v>
      </c>
      <c r="M180" s="16" t="n">
        <f aca="false">IF(F180=0,0,G180/F180)</f>
        <v>0.972800537273338</v>
      </c>
      <c r="N180" s="16" t="n">
        <f aca="false">K180*L180*M180</f>
        <v>0.754427083333333</v>
      </c>
      <c r="O180" s="19" t="n">
        <f aca="false">MONTH(A180)</f>
        <v>7</v>
      </c>
      <c r="P180" s="19" t="n">
        <f aca="false">INT((A180-DATE(2026,7,1))/7)+1</f>
        <v>3</v>
      </c>
    </row>
    <row r="181" customFormat="false" ht="15" hidden="false" customHeight="false" outlineLevel="0" collapsed="false">
      <c r="A181" s="25" t="n">
        <v>46223</v>
      </c>
      <c r="B181" s="26" t="s">
        <v>18</v>
      </c>
      <c r="C181" s="26" t="s">
        <v>74</v>
      </c>
      <c r="D181" s="26" t="n">
        <v>480</v>
      </c>
      <c r="E181" s="26" t="n">
        <v>8</v>
      </c>
      <c r="F181" s="26" t="n">
        <v>2879</v>
      </c>
      <c r="G181" s="26" t="n">
        <v>2779</v>
      </c>
      <c r="H181" s="19" t="n">
        <f aca="false">SUMIFS(Paradas!$E$2:$E$1973,Paradas!$A$2:$A$1973,A181,Paradas!$B$2:$B$1973,B181,Paradas!$C$2:$C$1973,C181)</f>
        <v>68</v>
      </c>
      <c r="I181" s="19" t="n">
        <f aca="false">D181-H181</f>
        <v>412</v>
      </c>
      <c r="J181" s="19" t="n">
        <f aca="false">I181*E181</f>
        <v>3296</v>
      </c>
      <c r="K181" s="16" t="n">
        <f aca="false">IF(D181=0,0,I181/D181)</f>
        <v>0.858333333333333</v>
      </c>
      <c r="L181" s="16" t="n">
        <f aca="false">IF(J181=0,0,F181/J181)</f>
        <v>0.873483009708738</v>
      </c>
      <c r="M181" s="16" t="n">
        <f aca="false">IF(F181=0,0,G181/F181)</f>
        <v>0.965265717262939</v>
      </c>
      <c r="N181" s="16" t="n">
        <f aca="false">K181*L181*M181</f>
        <v>0.723697916666667</v>
      </c>
      <c r="O181" s="19" t="n">
        <f aca="false">MONTH(A181)</f>
        <v>7</v>
      </c>
      <c r="P181" s="19" t="n">
        <f aca="false">INT((A181-DATE(2026,7,1))/7)+1</f>
        <v>3</v>
      </c>
    </row>
    <row r="182" customFormat="false" ht="15" hidden="false" customHeight="false" outlineLevel="0" collapsed="false">
      <c r="A182" s="25" t="n">
        <v>46224</v>
      </c>
      <c r="B182" s="26" t="s">
        <v>16</v>
      </c>
      <c r="C182" s="26" t="s">
        <v>72</v>
      </c>
      <c r="D182" s="26" t="n">
        <v>480</v>
      </c>
      <c r="E182" s="26" t="n">
        <v>12</v>
      </c>
      <c r="F182" s="26" t="n">
        <v>3907</v>
      </c>
      <c r="G182" s="26" t="n">
        <v>3794</v>
      </c>
      <c r="H182" s="19" t="n">
        <f aca="false">SUMIFS(Paradas!$E$2:$E$1973,Paradas!$A$2:$A$1973,A182,Paradas!$B$2:$B$1973,B182,Paradas!$C$2:$C$1973,C182)</f>
        <v>141</v>
      </c>
      <c r="I182" s="19" t="n">
        <f aca="false">D182-H182</f>
        <v>339</v>
      </c>
      <c r="J182" s="19" t="n">
        <f aca="false">I182*E182</f>
        <v>4068</v>
      </c>
      <c r="K182" s="16" t="n">
        <f aca="false">IF(D182=0,0,I182/D182)</f>
        <v>0.70625</v>
      </c>
      <c r="L182" s="16" t="n">
        <f aca="false">IF(J182=0,0,F182/J182)</f>
        <v>0.960422812192724</v>
      </c>
      <c r="M182" s="16" t="n">
        <f aca="false">IF(F182=0,0,G182/F182)</f>
        <v>0.971077553109803</v>
      </c>
      <c r="N182" s="16" t="n">
        <f aca="false">K182*L182*M182</f>
        <v>0.658680555555556</v>
      </c>
      <c r="O182" s="19" t="n">
        <f aca="false">MONTH(A182)</f>
        <v>7</v>
      </c>
      <c r="P182" s="19" t="n">
        <f aca="false">INT((A182-DATE(2026,7,1))/7)+1</f>
        <v>3</v>
      </c>
    </row>
    <row r="183" customFormat="false" ht="15" hidden="false" customHeight="false" outlineLevel="0" collapsed="false">
      <c r="A183" s="25" t="n">
        <v>46224</v>
      </c>
      <c r="B183" s="26" t="s">
        <v>16</v>
      </c>
      <c r="C183" s="26" t="s">
        <v>73</v>
      </c>
      <c r="D183" s="26" t="n">
        <v>480</v>
      </c>
      <c r="E183" s="26" t="n">
        <v>12</v>
      </c>
      <c r="F183" s="26" t="n">
        <v>4954</v>
      </c>
      <c r="G183" s="26" t="n">
        <v>4802</v>
      </c>
      <c r="H183" s="19" t="n">
        <f aca="false">SUMIFS(Paradas!$E$2:$E$1973,Paradas!$A$2:$A$1973,A183,Paradas!$B$2:$B$1973,B183,Paradas!$C$2:$C$1973,C183)</f>
        <v>41</v>
      </c>
      <c r="I183" s="19" t="n">
        <f aca="false">D183-H183</f>
        <v>439</v>
      </c>
      <c r="J183" s="19" t="n">
        <f aca="false">I183*E183</f>
        <v>5268</v>
      </c>
      <c r="K183" s="16" t="n">
        <f aca="false">IF(D183=0,0,I183/D183)</f>
        <v>0.914583333333333</v>
      </c>
      <c r="L183" s="16" t="n">
        <f aca="false">IF(J183=0,0,F183/J183)</f>
        <v>0.94039483675019</v>
      </c>
      <c r="M183" s="16" t="n">
        <f aca="false">IF(F183=0,0,G183/F183)</f>
        <v>0.969317723052079</v>
      </c>
      <c r="N183" s="16" t="n">
        <f aca="false">K183*L183*M183</f>
        <v>0.833680555555556</v>
      </c>
      <c r="O183" s="19" t="n">
        <f aca="false">MONTH(A183)</f>
        <v>7</v>
      </c>
      <c r="P183" s="19" t="n">
        <f aca="false">INT((A183-DATE(2026,7,1))/7)+1</f>
        <v>3</v>
      </c>
    </row>
    <row r="184" customFormat="false" ht="15" hidden="false" customHeight="false" outlineLevel="0" collapsed="false">
      <c r="A184" s="25" t="n">
        <v>46224</v>
      </c>
      <c r="B184" s="26" t="s">
        <v>16</v>
      </c>
      <c r="C184" s="26" t="s">
        <v>74</v>
      </c>
      <c r="D184" s="26" t="n">
        <v>480</v>
      </c>
      <c r="E184" s="26" t="n">
        <v>12</v>
      </c>
      <c r="F184" s="26" t="n">
        <v>4617</v>
      </c>
      <c r="G184" s="26" t="n">
        <v>4450</v>
      </c>
      <c r="H184" s="19" t="n">
        <f aca="false">SUMIFS(Paradas!$E$2:$E$1973,Paradas!$A$2:$A$1973,A184,Paradas!$B$2:$B$1973,B184,Paradas!$C$2:$C$1973,C184)</f>
        <v>0</v>
      </c>
      <c r="I184" s="19" t="n">
        <f aca="false">D184-H184</f>
        <v>480</v>
      </c>
      <c r="J184" s="19" t="n">
        <f aca="false">I184*E184</f>
        <v>5760</v>
      </c>
      <c r="K184" s="16" t="n">
        <f aca="false">IF(D184=0,0,I184/D184)</f>
        <v>1</v>
      </c>
      <c r="L184" s="16" t="n">
        <f aca="false">IF(J184=0,0,F184/J184)</f>
        <v>0.8015625</v>
      </c>
      <c r="M184" s="16" t="n">
        <f aca="false">IF(F184=0,0,G184/F184)</f>
        <v>0.963829326402426</v>
      </c>
      <c r="N184" s="16" t="n">
        <f aca="false">K184*L184*M184</f>
        <v>0.772569444444444</v>
      </c>
      <c r="O184" s="19" t="n">
        <f aca="false">MONTH(A184)</f>
        <v>7</v>
      </c>
      <c r="P184" s="19" t="n">
        <f aca="false">INT((A184-DATE(2026,7,1))/7)+1</f>
        <v>3</v>
      </c>
    </row>
    <row r="185" customFormat="false" ht="15" hidden="false" customHeight="false" outlineLevel="0" collapsed="false">
      <c r="A185" s="25" t="n">
        <v>46224</v>
      </c>
      <c r="B185" s="26" t="s">
        <v>17</v>
      </c>
      <c r="C185" s="26" t="s">
        <v>72</v>
      </c>
      <c r="D185" s="26" t="n">
        <v>480</v>
      </c>
      <c r="E185" s="26" t="n">
        <v>10</v>
      </c>
      <c r="F185" s="26" t="n">
        <v>3423</v>
      </c>
      <c r="G185" s="26" t="n">
        <v>3252</v>
      </c>
      <c r="H185" s="19" t="n">
        <f aca="false">SUMIFS(Paradas!$E$2:$E$1973,Paradas!$A$2:$A$1973,A185,Paradas!$B$2:$B$1973,B185,Paradas!$C$2:$C$1973,C185)</f>
        <v>119</v>
      </c>
      <c r="I185" s="19" t="n">
        <f aca="false">D185-H185</f>
        <v>361</v>
      </c>
      <c r="J185" s="19" t="n">
        <f aca="false">I185*E185</f>
        <v>3610</v>
      </c>
      <c r="K185" s="16" t="n">
        <f aca="false">IF(D185=0,0,I185/D185)</f>
        <v>0.752083333333333</v>
      </c>
      <c r="L185" s="16" t="n">
        <f aca="false">IF(J185=0,0,F185/J185)</f>
        <v>0.94819944598338</v>
      </c>
      <c r="M185" s="16" t="n">
        <f aca="false">IF(F185=0,0,G185/F185)</f>
        <v>0.950043821209465</v>
      </c>
      <c r="N185" s="16" t="n">
        <f aca="false">K185*L185*M185</f>
        <v>0.6775</v>
      </c>
      <c r="O185" s="19" t="n">
        <f aca="false">MONTH(A185)</f>
        <v>7</v>
      </c>
      <c r="P185" s="19" t="n">
        <f aca="false">INT((A185-DATE(2026,7,1))/7)+1</f>
        <v>3</v>
      </c>
    </row>
    <row r="186" customFormat="false" ht="15" hidden="false" customHeight="false" outlineLevel="0" collapsed="false">
      <c r="A186" s="25" t="n">
        <v>46224</v>
      </c>
      <c r="B186" s="26" t="s">
        <v>17</v>
      </c>
      <c r="C186" s="26" t="s">
        <v>73</v>
      </c>
      <c r="D186" s="26" t="n">
        <v>480</v>
      </c>
      <c r="E186" s="26" t="n">
        <v>10</v>
      </c>
      <c r="F186" s="26" t="n">
        <v>3170</v>
      </c>
      <c r="G186" s="26" t="n">
        <v>3040</v>
      </c>
      <c r="H186" s="19" t="n">
        <f aca="false">SUMIFS(Paradas!$E$2:$E$1973,Paradas!$A$2:$A$1973,A186,Paradas!$B$2:$B$1973,B186,Paradas!$C$2:$C$1973,C186)</f>
        <v>105</v>
      </c>
      <c r="I186" s="19" t="n">
        <f aca="false">D186-H186</f>
        <v>375</v>
      </c>
      <c r="J186" s="19" t="n">
        <f aca="false">I186*E186</f>
        <v>3750</v>
      </c>
      <c r="K186" s="16" t="n">
        <f aca="false">IF(D186=0,0,I186/D186)</f>
        <v>0.78125</v>
      </c>
      <c r="L186" s="16" t="n">
        <f aca="false">IF(J186=0,0,F186/J186)</f>
        <v>0.845333333333333</v>
      </c>
      <c r="M186" s="16" t="n">
        <f aca="false">IF(F186=0,0,G186/F186)</f>
        <v>0.958990536277603</v>
      </c>
      <c r="N186" s="16" t="n">
        <f aca="false">K186*L186*M186</f>
        <v>0.633333333333333</v>
      </c>
      <c r="O186" s="19" t="n">
        <f aca="false">MONTH(A186)</f>
        <v>7</v>
      </c>
      <c r="P186" s="19" t="n">
        <f aca="false">INT((A186-DATE(2026,7,1))/7)+1</f>
        <v>3</v>
      </c>
    </row>
    <row r="187" customFormat="false" ht="15" hidden="false" customHeight="false" outlineLevel="0" collapsed="false">
      <c r="A187" s="25" t="n">
        <v>46224</v>
      </c>
      <c r="B187" s="26" t="s">
        <v>17</v>
      </c>
      <c r="C187" s="26" t="s">
        <v>74</v>
      </c>
      <c r="D187" s="26" t="n">
        <v>480</v>
      </c>
      <c r="E187" s="26" t="n">
        <v>10</v>
      </c>
      <c r="F187" s="26" t="n">
        <v>3017</v>
      </c>
      <c r="G187" s="26" t="n">
        <v>2904</v>
      </c>
      <c r="H187" s="19" t="n">
        <f aca="false">SUMIFS(Paradas!$E$2:$E$1973,Paradas!$A$2:$A$1973,A187,Paradas!$B$2:$B$1973,B187,Paradas!$C$2:$C$1973,C187)</f>
        <v>88</v>
      </c>
      <c r="I187" s="19" t="n">
        <f aca="false">D187-H187</f>
        <v>392</v>
      </c>
      <c r="J187" s="19" t="n">
        <f aca="false">I187*E187</f>
        <v>3920</v>
      </c>
      <c r="K187" s="16" t="n">
        <f aca="false">IF(D187=0,0,I187/D187)</f>
        <v>0.816666666666667</v>
      </c>
      <c r="L187" s="16" t="n">
        <f aca="false">IF(J187=0,0,F187/J187)</f>
        <v>0.769642857142857</v>
      </c>
      <c r="M187" s="16" t="n">
        <f aca="false">IF(F187=0,0,G187/F187)</f>
        <v>0.962545575074577</v>
      </c>
      <c r="N187" s="16" t="n">
        <f aca="false">K187*L187*M187</f>
        <v>0.605</v>
      </c>
      <c r="O187" s="19" t="n">
        <f aca="false">MONTH(A187)</f>
        <v>7</v>
      </c>
      <c r="P187" s="19" t="n">
        <f aca="false">INT((A187-DATE(2026,7,1))/7)+1</f>
        <v>3</v>
      </c>
    </row>
    <row r="188" customFormat="false" ht="15" hidden="false" customHeight="false" outlineLevel="0" collapsed="false">
      <c r="A188" s="25" t="n">
        <v>46224</v>
      </c>
      <c r="B188" s="26" t="s">
        <v>18</v>
      </c>
      <c r="C188" s="26" t="s">
        <v>72</v>
      </c>
      <c r="D188" s="26" t="n">
        <v>480</v>
      </c>
      <c r="E188" s="26" t="n">
        <v>8</v>
      </c>
      <c r="F188" s="26" t="n">
        <v>2489</v>
      </c>
      <c r="G188" s="26" t="n">
        <v>2444</v>
      </c>
      <c r="H188" s="19" t="n">
        <f aca="false">SUMIFS(Paradas!$E$2:$E$1973,Paradas!$A$2:$A$1973,A188,Paradas!$B$2:$B$1973,B188,Paradas!$C$2:$C$1973,C188)</f>
        <v>128</v>
      </c>
      <c r="I188" s="19" t="n">
        <f aca="false">D188-H188</f>
        <v>352</v>
      </c>
      <c r="J188" s="19" t="n">
        <f aca="false">I188*E188</f>
        <v>2816</v>
      </c>
      <c r="K188" s="16" t="n">
        <f aca="false">IF(D188=0,0,I188/D188)</f>
        <v>0.733333333333333</v>
      </c>
      <c r="L188" s="16" t="n">
        <f aca="false">IF(J188=0,0,F188/J188)</f>
        <v>0.883877840909091</v>
      </c>
      <c r="M188" s="16" t="n">
        <f aca="false">IF(F188=0,0,G188/F188)</f>
        <v>0.981920449979912</v>
      </c>
      <c r="N188" s="16" t="n">
        <f aca="false">K188*L188*M188</f>
        <v>0.636458333333333</v>
      </c>
      <c r="O188" s="19" t="n">
        <f aca="false">MONTH(A188)</f>
        <v>7</v>
      </c>
      <c r="P188" s="19" t="n">
        <f aca="false">INT((A188-DATE(2026,7,1))/7)+1</f>
        <v>3</v>
      </c>
    </row>
    <row r="189" customFormat="false" ht="15" hidden="false" customHeight="false" outlineLevel="0" collapsed="false">
      <c r="A189" s="25" t="n">
        <v>46224</v>
      </c>
      <c r="B189" s="26" t="s">
        <v>18</v>
      </c>
      <c r="C189" s="26" t="s">
        <v>73</v>
      </c>
      <c r="D189" s="26" t="n">
        <v>480</v>
      </c>
      <c r="E189" s="26" t="n">
        <v>8</v>
      </c>
      <c r="F189" s="26" t="n">
        <v>2191</v>
      </c>
      <c r="G189" s="26" t="n">
        <v>2154</v>
      </c>
      <c r="H189" s="19" t="n">
        <f aca="false">SUMIFS(Paradas!$E$2:$E$1973,Paradas!$A$2:$A$1973,A189,Paradas!$B$2:$B$1973,B189,Paradas!$C$2:$C$1973,C189)</f>
        <v>161</v>
      </c>
      <c r="I189" s="19" t="n">
        <f aca="false">D189-H189</f>
        <v>319</v>
      </c>
      <c r="J189" s="19" t="n">
        <f aca="false">I189*E189</f>
        <v>2552</v>
      </c>
      <c r="K189" s="16" t="n">
        <f aca="false">IF(D189=0,0,I189/D189)</f>
        <v>0.664583333333333</v>
      </c>
      <c r="L189" s="16" t="n">
        <f aca="false">IF(J189=0,0,F189/J189)</f>
        <v>0.858542319749216</v>
      </c>
      <c r="M189" s="16" t="n">
        <f aca="false">IF(F189=0,0,G189/F189)</f>
        <v>0.983112733911456</v>
      </c>
      <c r="N189" s="16" t="n">
        <f aca="false">K189*L189*M189</f>
        <v>0.5609375</v>
      </c>
      <c r="O189" s="19" t="n">
        <f aca="false">MONTH(A189)</f>
        <v>7</v>
      </c>
      <c r="P189" s="19" t="n">
        <f aca="false">INT((A189-DATE(2026,7,1))/7)+1</f>
        <v>3</v>
      </c>
    </row>
    <row r="190" customFormat="false" ht="15" hidden="false" customHeight="false" outlineLevel="0" collapsed="false">
      <c r="A190" s="25" t="n">
        <v>46224</v>
      </c>
      <c r="B190" s="26" t="s">
        <v>18</v>
      </c>
      <c r="C190" s="26" t="s">
        <v>74</v>
      </c>
      <c r="D190" s="26" t="n">
        <v>480</v>
      </c>
      <c r="E190" s="26" t="n">
        <v>8</v>
      </c>
      <c r="F190" s="26" t="n">
        <v>3177</v>
      </c>
      <c r="G190" s="26" t="n">
        <v>3057</v>
      </c>
      <c r="H190" s="19" t="n">
        <f aca="false">SUMIFS(Paradas!$E$2:$E$1973,Paradas!$A$2:$A$1973,A190,Paradas!$B$2:$B$1973,B190,Paradas!$C$2:$C$1973,C190)</f>
        <v>13</v>
      </c>
      <c r="I190" s="19" t="n">
        <f aca="false">D190-H190</f>
        <v>467</v>
      </c>
      <c r="J190" s="19" t="n">
        <f aca="false">I190*E190</f>
        <v>3736</v>
      </c>
      <c r="K190" s="16" t="n">
        <f aca="false">IF(D190=0,0,I190/D190)</f>
        <v>0.972916666666667</v>
      </c>
      <c r="L190" s="16" t="n">
        <f aca="false">IF(J190=0,0,F190/J190)</f>
        <v>0.850374732334047</v>
      </c>
      <c r="M190" s="16" t="n">
        <f aca="false">IF(F190=0,0,G190/F190)</f>
        <v>0.962228517469311</v>
      </c>
      <c r="N190" s="16" t="n">
        <f aca="false">K190*L190*M190</f>
        <v>0.79609375</v>
      </c>
      <c r="O190" s="19" t="n">
        <f aca="false">MONTH(A190)</f>
        <v>7</v>
      </c>
      <c r="P190" s="19" t="n">
        <f aca="false">INT((A190-DATE(2026,7,1))/7)+1</f>
        <v>3</v>
      </c>
    </row>
    <row r="191" customFormat="false" ht="15" hidden="false" customHeight="false" outlineLevel="0" collapsed="false">
      <c r="A191" s="25" t="n">
        <v>46225</v>
      </c>
      <c r="B191" s="26" t="s">
        <v>16</v>
      </c>
      <c r="C191" s="26" t="s">
        <v>72</v>
      </c>
      <c r="D191" s="26" t="n">
        <v>480</v>
      </c>
      <c r="E191" s="26" t="n">
        <v>12</v>
      </c>
      <c r="F191" s="26" t="n">
        <v>3721</v>
      </c>
      <c r="G191" s="26" t="n">
        <v>3642</v>
      </c>
      <c r="H191" s="19" t="n">
        <f aca="false">SUMIFS(Paradas!$E$2:$E$1973,Paradas!$A$2:$A$1973,A191,Paradas!$B$2:$B$1973,B191,Paradas!$C$2:$C$1973,C191)</f>
        <v>122</v>
      </c>
      <c r="I191" s="19" t="n">
        <f aca="false">D191-H191</f>
        <v>358</v>
      </c>
      <c r="J191" s="19" t="n">
        <f aca="false">I191*E191</f>
        <v>4296</v>
      </c>
      <c r="K191" s="16" t="n">
        <f aca="false">IF(D191=0,0,I191/D191)</f>
        <v>0.745833333333333</v>
      </c>
      <c r="L191" s="16" t="n">
        <f aca="false">IF(J191=0,0,F191/J191)</f>
        <v>0.866154562383613</v>
      </c>
      <c r="M191" s="16" t="n">
        <f aca="false">IF(F191=0,0,G191/F191)</f>
        <v>0.978769148078474</v>
      </c>
      <c r="N191" s="16" t="n">
        <f aca="false">K191*L191*M191</f>
        <v>0.632291666666667</v>
      </c>
      <c r="O191" s="19" t="n">
        <f aca="false">MONTH(A191)</f>
        <v>7</v>
      </c>
      <c r="P191" s="19" t="n">
        <f aca="false">INT((A191-DATE(2026,7,1))/7)+1</f>
        <v>4</v>
      </c>
    </row>
    <row r="192" customFormat="false" ht="15" hidden="false" customHeight="false" outlineLevel="0" collapsed="false">
      <c r="A192" s="25" t="n">
        <v>46225</v>
      </c>
      <c r="B192" s="26" t="s">
        <v>16</v>
      </c>
      <c r="C192" s="26" t="s">
        <v>73</v>
      </c>
      <c r="D192" s="26" t="n">
        <v>480</v>
      </c>
      <c r="E192" s="26" t="n">
        <v>12</v>
      </c>
      <c r="F192" s="26" t="n">
        <v>4655</v>
      </c>
      <c r="G192" s="26" t="n">
        <v>4600</v>
      </c>
      <c r="H192" s="19" t="n">
        <f aca="false">SUMIFS(Paradas!$E$2:$E$1973,Paradas!$A$2:$A$1973,A192,Paradas!$B$2:$B$1973,B192,Paradas!$C$2:$C$1973,C192)</f>
        <v>30</v>
      </c>
      <c r="I192" s="19" t="n">
        <f aca="false">D192-H192</f>
        <v>450</v>
      </c>
      <c r="J192" s="19" t="n">
        <f aca="false">I192*E192</f>
        <v>5400</v>
      </c>
      <c r="K192" s="16" t="n">
        <f aca="false">IF(D192=0,0,I192/D192)</f>
        <v>0.9375</v>
      </c>
      <c r="L192" s="16" t="n">
        <f aca="false">IF(J192=0,0,F192/J192)</f>
        <v>0.862037037037037</v>
      </c>
      <c r="M192" s="16" t="n">
        <f aca="false">IF(F192=0,0,G192/F192)</f>
        <v>0.988184747583244</v>
      </c>
      <c r="N192" s="16" t="n">
        <f aca="false">K192*L192*M192</f>
        <v>0.798611111111111</v>
      </c>
      <c r="O192" s="19" t="n">
        <f aca="false">MONTH(A192)</f>
        <v>7</v>
      </c>
      <c r="P192" s="19" t="n">
        <f aca="false">INT((A192-DATE(2026,7,1))/7)+1</f>
        <v>4</v>
      </c>
    </row>
    <row r="193" customFormat="false" ht="15" hidden="false" customHeight="false" outlineLevel="0" collapsed="false">
      <c r="A193" s="25" t="n">
        <v>46225</v>
      </c>
      <c r="B193" s="26" t="s">
        <v>16</v>
      </c>
      <c r="C193" s="26" t="s">
        <v>74</v>
      </c>
      <c r="D193" s="26" t="n">
        <v>480</v>
      </c>
      <c r="E193" s="26" t="n">
        <v>12</v>
      </c>
      <c r="F193" s="26" t="n">
        <v>4560</v>
      </c>
      <c r="G193" s="26" t="n">
        <v>4492</v>
      </c>
      <c r="H193" s="19" t="n">
        <f aca="false">SUMIFS(Paradas!$E$2:$E$1973,Paradas!$A$2:$A$1973,A193,Paradas!$B$2:$B$1973,B193,Paradas!$C$2:$C$1973,C193)</f>
        <v>48</v>
      </c>
      <c r="I193" s="19" t="n">
        <f aca="false">D193-H193</f>
        <v>432</v>
      </c>
      <c r="J193" s="19" t="n">
        <f aca="false">I193*E193</f>
        <v>5184</v>
      </c>
      <c r="K193" s="16" t="n">
        <f aca="false">IF(D193=0,0,I193/D193)</f>
        <v>0.9</v>
      </c>
      <c r="L193" s="16" t="n">
        <f aca="false">IF(J193=0,0,F193/J193)</f>
        <v>0.87962962962963</v>
      </c>
      <c r="M193" s="16" t="n">
        <f aca="false">IF(F193=0,0,G193/F193)</f>
        <v>0.985087719298246</v>
      </c>
      <c r="N193" s="16" t="n">
        <f aca="false">K193*L193*M193</f>
        <v>0.779861111111111</v>
      </c>
      <c r="O193" s="19" t="n">
        <f aca="false">MONTH(A193)</f>
        <v>7</v>
      </c>
      <c r="P193" s="19" t="n">
        <f aca="false">INT((A193-DATE(2026,7,1))/7)+1</f>
        <v>4</v>
      </c>
    </row>
    <row r="194" customFormat="false" ht="15" hidden="false" customHeight="false" outlineLevel="0" collapsed="false">
      <c r="A194" s="25" t="n">
        <v>46225</v>
      </c>
      <c r="B194" s="26" t="s">
        <v>17</v>
      </c>
      <c r="C194" s="26" t="s">
        <v>72</v>
      </c>
      <c r="D194" s="26" t="n">
        <v>480</v>
      </c>
      <c r="E194" s="26" t="n">
        <v>10</v>
      </c>
      <c r="F194" s="26" t="n">
        <v>3146</v>
      </c>
      <c r="G194" s="26" t="n">
        <v>2995</v>
      </c>
      <c r="H194" s="19" t="n">
        <f aca="false">SUMIFS(Paradas!$E$2:$E$1973,Paradas!$A$2:$A$1973,A194,Paradas!$B$2:$B$1973,B194,Paradas!$C$2:$C$1973,C194)</f>
        <v>156</v>
      </c>
      <c r="I194" s="19" t="n">
        <f aca="false">D194-H194</f>
        <v>324</v>
      </c>
      <c r="J194" s="19" t="n">
        <f aca="false">I194*E194</f>
        <v>3240</v>
      </c>
      <c r="K194" s="16" t="n">
        <f aca="false">IF(D194=0,0,I194/D194)</f>
        <v>0.675</v>
      </c>
      <c r="L194" s="16" t="n">
        <f aca="false">IF(J194=0,0,F194/J194)</f>
        <v>0.970987654320988</v>
      </c>
      <c r="M194" s="16" t="n">
        <f aca="false">IF(F194=0,0,G194/F194)</f>
        <v>0.952002542911634</v>
      </c>
      <c r="N194" s="16" t="n">
        <f aca="false">K194*L194*M194</f>
        <v>0.623958333333333</v>
      </c>
      <c r="O194" s="19" t="n">
        <f aca="false">MONTH(A194)</f>
        <v>7</v>
      </c>
      <c r="P194" s="19" t="n">
        <f aca="false">INT((A194-DATE(2026,7,1))/7)+1</f>
        <v>4</v>
      </c>
    </row>
    <row r="195" customFormat="false" ht="15" hidden="false" customHeight="false" outlineLevel="0" collapsed="false">
      <c r="A195" s="25" t="n">
        <v>46225</v>
      </c>
      <c r="B195" s="26" t="s">
        <v>17</v>
      </c>
      <c r="C195" s="26" t="s">
        <v>73</v>
      </c>
      <c r="D195" s="26" t="n">
        <v>480</v>
      </c>
      <c r="E195" s="26" t="n">
        <v>10</v>
      </c>
      <c r="F195" s="26" t="n">
        <v>2893</v>
      </c>
      <c r="G195" s="26" t="n">
        <v>2724</v>
      </c>
      <c r="H195" s="19" t="n">
        <f aca="false">SUMIFS(Paradas!$E$2:$E$1973,Paradas!$A$2:$A$1973,A195,Paradas!$B$2:$B$1973,B195,Paradas!$C$2:$C$1973,C195)</f>
        <v>153</v>
      </c>
      <c r="I195" s="19" t="n">
        <f aca="false">D195-H195</f>
        <v>327</v>
      </c>
      <c r="J195" s="19" t="n">
        <f aca="false">I195*E195</f>
        <v>3270</v>
      </c>
      <c r="K195" s="16" t="n">
        <f aca="false">IF(D195=0,0,I195/D195)</f>
        <v>0.68125</v>
      </c>
      <c r="L195" s="16" t="n">
        <f aca="false">IF(J195=0,0,F195/J195)</f>
        <v>0.884709480122324</v>
      </c>
      <c r="M195" s="16" t="n">
        <f aca="false">IF(F195=0,0,G195/F195)</f>
        <v>0.9415831316972</v>
      </c>
      <c r="N195" s="16" t="n">
        <f aca="false">K195*L195*M195</f>
        <v>0.5675</v>
      </c>
      <c r="O195" s="19" t="n">
        <f aca="false">MONTH(A195)</f>
        <v>7</v>
      </c>
      <c r="P195" s="19" t="n">
        <f aca="false">INT((A195-DATE(2026,7,1))/7)+1</f>
        <v>4</v>
      </c>
    </row>
    <row r="196" customFormat="false" ht="15" hidden="false" customHeight="false" outlineLevel="0" collapsed="false">
      <c r="A196" s="25" t="n">
        <v>46225</v>
      </c>
      <c r="B196" s="26" t="s">
        <v>17</v>
      </c>
      <c r="C196" s="26" t="s">
        <v>74</v>
      </c>
      <c r="D196" s="26" t="n">
        <v>480</v>
      </c>
      <c r="E196" s="26" t="n">
        <v>10</v>
      </c>
      <c r="F196" s="26" t="n">
        <v>3191</v>
      </c>
      <c r="G196" s="26" t="n">
        <v>3051</v>
      </c>
      <c r="H196" s="19" t="n">
        <f aca="false">SUMIFS(Paradas!$E$2:$E$1973,Paradas!$A$2:$A$1973,A196,Paradas!$B$2:$B$1973,B196,Paradas!$C$2:$C$1973,C196)</f>
        <v>121</v>
      </c>
      <c r="I196" s="19" t="n">
        <f aca="false">D196-H196</f>
        <v>359</v>
      </c>
      <c r="J196" s="19" t="n">
        <f aca="false">I196*E196</f>
        <v>3590</v>
      </c>
      <c r="K196" s="16" t="n">
        <f aca="false">IF(D196=0,0,I196/D196)</f>
        <v>0.747916666666667</v>
      </c>
      <c r="L196" s="16" t="n">
        <f aca="false">IF(J196=0,0,F196/J196)</f>
        <v>0.888857938718663</v>
      </c>
      <c r="M196" s="16" t="n">
        <f aca="false">IF(F196=0,0,G196/F196)</f>
        <v>0.956126606079599</v>
      </c>
      <c r="N196" s="16" t="n">
        <f aca="false">K196*L196*M196</f>
        <v>0.635625</v>
      </c>
      <c r="O196" s="19" t="n">
        <f aca="false">MONTH(A196)</f>
        <v>7</v>
      </c>
      <c r="P196" s="19" t="n">
        <f aca="false">INT((A196-DATE(2026,7,1))/7)+1</f>
        <v>4</v>
      </c>
    </row>
    <row r="197" customFormat="false" ht="15" hidden="false" customHeight="false" outlineLevel="0" collapsed="false">
      <c r="A197" s="25" t="n">
        <v>46225</v>
      </c>
      <c r="B197" s="26" t="s">
        <v>18</v>
      </c>
      <c r="C197" s="26" t="s">
        <v>72</v>
      </c>
      <c r="D197" s="26" t="n">
        <v>480</v>
      </c>
      <c r="E197" s="26" t="n">
        <v>8</v>
      </c>
      <c r="F197" s="26" t="n">
        <v>2003</v>
      </c>
      <c r="G197" s="26" t="n">
        <v>1953</v>
      </c>
      <c r="H197" s="19" t="n">
        <f aca="false">SUMIFS(Paradas!$E$2:$E$1973,Paradas!$A$2:$A$1973,A197,Paradas!$B$2:$B$1973,B197,Paradas!$C$2:$C$1973,C197)</f>
        <v>205</v>
      </c>
      <c r="I197" s="19" t="n">
        <f aca="false">D197-H197</f>
        <v>275</v>
      </c>
      <c r="J197" s="19" t="n">
        <f aca="false">I197*E197</f>
        <v>2200</v>
      </c>
      <c r="K197" s="16" t="n">
        <f aca="false">IF(D197=0,0,I197/D197)</f>
        <v>0.572916666666667</v>
      </c>
      <c r="L197" s="16" t="n">
        <f aca="false">IF(J197=0,0,F197/J197)</f>
        <v>0.910454545454545</v>
      </c>
      <c r="M197" s="16" t="n">
        <f aca="false">IF(F197=0,0,G197/F197)</f>
        <v>0.975037443834249</v>
      </c>
      <c r="N197" s="16" t="n">
        <f aca="false">K197*L197*M197</f>
        <v>0.50859375</v>
      </c>
      <c r="O197" s="19" t="n">
        <f aca="false">MONTH(A197)</f>
        <v>7</v>
      </c>
      <c r="P197" s="19" t="n">
        <f aca="false">INT((A197-DATE(2026,7,1))/7)+1</f>
        <v>4</v>
      </c>
    </row>
    <row r="198" customFormat="false" ht="15" hidden="false" customHeight="false" outlineLevel="0" collapsed="false">
      <c r="A198" s="25" t="n">
        <v>46225</v>
      </c>
      <c r="B198" s="26" t="s">
        <v>18</v>
      </c>
      <c r="C198" s="26" t="s">
        <v>73</v>
      </c>
      <c r="D198" s="26" t="n">
        <v>480</v>
      </c>
      <c r="E198" s="26" t="n">
        <v>8</v>
      </c>
      <c r="F198" s="26" t="n">
        <v>2907</v>
      </c>
      <c r="G198" s="26" t="n">
        <v>2793</v>
      </c>
      <c r="H198" s="19" t="n">
        <f aca="false">SUMIFS(Paradas!$E$2:$E$1973,Paradas!$A$2:$A$1973,A198,Paradas!$B$2:$B$1973,B198,Paradas!$C$2:$C$1973,C198)</f>
        <v>95</v>
      </c>
      <c r="I198" s="19" t="n">
        <f aca="false">D198-H198</f>
        <v>385</v>
      </c>
      <c r="J198" s="19" t="n">
        <f aca="false">I198*E198</f>
        <v>3080</v>
      </c>
      <c r="K198" s="16" t="n">
        <f aca="false">IF(D198=0,0,I198/D198)</f>
        <v>0.802083333333333</v>
      </c>
      <c r="L198" s="16" t="n">
        <f aca="false">IF(J198=0,0,F198/J198)</f>
        <v>0.943831168831169</v>
      </c>
      <c r="M198" s="16" t="n">
        <f aca="false">IF(F198=0,0,G198/F198)</f>
        <v>0.96078431372549</v>
      </c>
      <c r="N198" s="16" t="n">
        <f aca="false">K198*L198*M198</f>
        <v>0.72734375</v>
      </c>
      <c r="O198" s="19" t="n">
        <f aca="false">MONTH(A198)</f>
        <v>7</v>
      </c>
      <c r="P198" s="19" t="n">
        <f aca="false">INT((A198-DATE(2026,7,1))/7)+1</f>
        <v>4</v>
      </c>
    </row>
    <row r="199" customFormat="false" ht="15" hidden="false" customHeight="false" outlineLevel="0" collapsed="false">
      <c r="A199" s="25" t="n">
        <v>46225</v>
      </c>
      <c r="B199" s="26" t="s">
        <v>18</v>
      </c>
      <c r="C199" s="26" t="s">
        <v>74</v>
      </c>
      <c r="D199" s="26" t="n">
        <v>480</v>
      </c>
      <c r="E199" s="26" t="n">
        <v>8</v>
      </c>
      <c r="F199" s="26" t="n">
        <v>1668</v>
      </c>
      <c r="G199" s="26" t="n">
        <v>1631</v>
      </c>
      <c r="H199" s="19" t="n">
        <f aca="false">SUMIFS(Paradas!$E$2:$E$1973,Paradas!$A$2:$A$1973,A199,Paradas!$B$2:$B$1973,B199,Paradas!$C$2:$C$1973,C199)</f>
        <v>218</v>
      </c>
      <c r="I199" s="19" t="n">
        <f aca="false">D199-H199</f>
        <v>262</v>
      </c>
      <c r="J199" s="19" t="n">
        <f aca="false">I199*E199</f>
        <v>2096</v>
      </c>
      <c r="K199" s="16" t="n">
        <f aca="false">IF(D199=0,0,I199/D199)</f>
        <v>0.545833333333333</v>
      </c>
      <c r="L199" s="16" t="n">
        <f aca="false">IF(J199=0,0,F199/J199)</f>
        <v>0.795801526717557</v>
      </c>
      <c r="M199" s="16" t="n">
        <f aca="false">IF(F199=0,0,G199/F199)</f>
        <v>0.977817745803357</v>
      </c>
      <c r="N199" s="16" t="n">
        <f aca="false">K199*L199*M199</f>
        <v>0.424739583333333</v>
      </c>
      <c r="O199" s="19" t="n">
        <f aca="false">MONTH(A199)</f>
        <v>7</v>
      </c>
      <c r="P199" s="19" t="n">
        <f aca="false">INT((A199-DATE(2026,7,1))/7)+1</f>
        <v>4</v>
      </c>
    </row>
    <row r="200" customFormat="false" ht="15" hidden="false" customHeight="false" outlineLevel="0" collapsed="false">
      <c r="A200" s="25" t="n">
        <v>46226</v>
      </c>
      <c r="B200" s="26" t="s">
        <v>16</v>
      </c>
      <c r="C200" s="26" t="s">
        <v>72</v>
      </c>
      <c r="D200" s="26" t="n">
        <v>480</v>
      </c>
      <c r="E200" s="26" t="n">
        <v>12</v>
      </c>
      <c r="F200" s="26" t="n">
        <v>4239</v>
      </c>
      <c r="G200" s="26" t="n">
        <v>4114</v>
      </c>
      <c r="H200" s="19" t="n">
        <f aca="false">SUMIFS(Paradas!$E$2:$E$1973,Paradas!$A$2:$A$1973,A200,Paradas!$B$2:$B$1973,B200,Paradas!$C$2:$C$1973,C200)</f>
        <v>108</v>
      </c>
      <c r="I200" s="19" t="n">
        <f aca="false">D200-H200</f>
        <v>372</v>
      </c>
      <c r="J200" s="19" t="n">
        <f aca="false">I200*E200</f>
        <v>4464</v>
      </c>
      <c r="K200" s="16" t="n">
        <f aca="false">IF(D200=0,0,I200/D200)</f>
        <v>0.775</v>
      </c>
      <c r="L200" s="16" t="n">
        <f aca="false">IF(J200=0,0,F200/J200)</f>
        <v>0.949596774193548</v>
      </c>
      <c r="M200" s="16" t="n">
        <f aca="false">IF(F200=0,0,G200/F200)</f>
        <v>0.970511913187072</v>
      </c>
      <c r="N200" s="16" t="n">
        <f aca="false">K200*L200*M200</f>
        <v>0.714236111111111</v>
      </c>
      <c r="O200" s="19" t="n">
        <f aca="false">MONTH(A200)</f>
        <v>7</v>
      </c>
      <c r="P200" s="19" t="n">
        <f aca="false">INT((A200-DATE(2026,7,1))/7)+1</f>
        <v>4</v>
      </c>
    </row>
    <row r="201" customFormat="false" ht="15" hidden="false" customHeight="false" outlineLevel="0" collapsed="false">
      <c r="A201" s="25" t="n">
        <v>46226</v>
      </c>
      <c r="B201" s="26" t="s">
        <v>16</v>
      </c>
      <c r="C201" s="26" t="s">
        <v>73</v>
      </c>
      <c r="D201" s="26" t="n">
        <v>480</v>
      </c>
      <c r="E201" s="26" t="n">
        <v>12</v>
      </c>
      <c r="F201" s="26" t="n">
        <v>4198</v>
      </c>
      <c r="G201" s="26" t="n">
        <v>4071</v>
      </c>
      <c r="H201" s="19" t="n">
        <f aca="false">SUMIFS(Paradas!$E$2:$E$1973,Paradas!$A$2:$A$1973,A201,Paradas!$B$2:$B$1973,B201,Paradas!$C$2:$C$1973,C201)</f>
        <v>92</v>
      </c>
      <c r="I201" s="19" t="n">
        <f aca="false">D201-H201</f>
        <v>388</v>
      </c>
      <c r="J201" s="19" t="n">
        <f aca="false">I201*E201</f>
        <v>4656</v>
      </c>
      <c r="K201" s="16" t="n">
        <f aca="false">IF(D201=0,0,I201/D201)</f>
        <v>0.808333333333333</v>
      </c>
      <c r="L201" s="16" t="n">
        <f aca="false">IF(J201=0,0,F201/J201)</f>
        <v>0.901632302405498</v>
      </c>
      <c r="M201" s="16" t="n">
        <f aca="false">IF(F201=0,0,G201/F201)</f>
        <v>0.969747498808957</v>
      </c>
      <c r="N201" s="16" t="n">
        <f aca="false">K201*L201*M201</f>
        <v>0.706770833333333</v>
      </c>
      <c r="O201" s="19" t="n">
        <f aca="false">MONTH(A201)</f>
        <v>7</v>
      </c>
      <c r="P201" s="19" t="n">
        <f aca="false">INT((A201-DATE(2026,7,1))/7)+1</f>
        <v>4</v>
      </c>
    </row>
    <row r="202" customFormat="false" ht="15" hidden="false" customHeight="false" outlineLevel="0" collapsed="false">
      <c r="A202" s="25" t="n">
        <v>46226</v>
      </c>
      <c r="B202" s="26" t="s">
        <v>16</v>
      </c>
      <c r="C202" s="26" t="s">
        <v>74</v>
      </c>
      <c r="D202" s="26" t="n">
        <v>480</v>
      </c>
      <c r="E202" s="26" t="n">
        <v>12</v>
      </c>
      <c r="F202" s="26" t="n">
        <v>3741</v>
      </c>
      <c r="G202" s="26" t="n">
        <v>3662</v>
      </c>
      <c r="H202" s="19" t="n">
        <f aca="false">SUMIFS(Paradas!$E$2:$E$1973,Paradas!$A$2:$A$1973,A202,Paradas!$B$2:$B$1973,B202,Paradas!$C$2:$C$1973,C202)</f>
        <v>150</v>
      </c>
      <c r="I202" s="19" t="n">
        <f aca="false">D202-H202</f>
        <v>330</v>
      </c>
      <c r="J202" s="19" t="n">
        <f aca="false">I202*E202</f>
        <v>3960</v>
      </c>
      <c r="K202" s="16" t="n">
        <f aca="false">IF(D202=0,0,I202/D202)</f>
        <v>0.6875</v>
      </c>
      <c r="L202" s="16" t="n">
        <f aca="false">IF(J202=0,0,F202/J202)</f>
        <v>0.94469696969697</v>
      </c>
      <c r="M202" s="16" t="n">
        <f aca="false">IF(F202=0,0,G202/F202)</f>
        <v>0.978882651697407</v>
      </c>
      <c r="N202" s="16" t="n">
        <f aca="false">K202*L202*M202</f>
        <v>0.635763888888889</v>
      </c>
      <c r="O202" s="19" t="n">
        <f aca="false">MONTH(A202)</f>
        <v>7</v>
      </c>
      <c r="P202" s="19" t="n">
        <f aca="false">INT((A202-DATE(2026,7,1))/7)+1</f>
        <v>4</v>
      </c>
    </row>
    <row r="203" customFormat="false" ht="15" hidden="false" customHeight="false" outlineLevel="0" collapsed="false">
      <c r="A203" s="25" t="n">
        <v>46226</v>
      </c>
      <c r="B203" s="26" t="s">
        <v>17</v>
      </c>
      <c r="C203" s="26" t="s">
        <v>72</v>
      </c>
      <c r="D203" s="26" t="n">
        <v>480</v>
      </c>
      <c r="E203" s="26" t="n">
        <v>10</v>
      </c>
      <c r="F203" s="26" t="n">
        <v>3586</v>
      </c>
      <c r="G203" s="26" t="n">
        <v>3407</v>
      </c>
      <c r="H203" s="19" t="n">
        <f aca="false">SUMIFS(Paradas!$E$2:$E$1973,Paradas!$A$2:$A$1973,A203,Paradas!$B$2:$B$1973,B203,Paradas!$C$2:$C$1973,C203)</f>
        <v>73</v>
      </c>
      <c r="I203" s="19" t="n">
        <f aca="false">D203-H203</f>
        <v>407</v>
      </c>
      <c r="J203" s="19" t="n">
        <f aca="false">I203*E203</f>
        <v>4070</v>
      </c>
      <c r="K203" s="16" t="n">
        <f aca="false">IF(D203=0,0,I203/D203)</f>
        <v>0.847916666666667</v>
      </c>
      <c r="L203" s="16" t="n">
        <f aca="false">IF(J203=0,0,F203/J203)</f>
        <v>0.881081081081081</v>
      </c>
      <c r="M203" s="16" t="n">
        <f aca="false">IF(F203=0,0,G203/F203)</f>
        <v>0.950083658672616</v>
      </c>
      <c r="N203" s="16" t="n">
        <f aca="false">K203*L203*M203</f>
        <v>0.709791666666667</v>
      </c>
      <c r="O203" s="19" t="n">
        <f aca="false">MONTH(A203)</f>
        <v>7</v>
      </c>
      <c r="P203" s="19" t="n">
        <f aca="false">INT((A203-DATE(2026,7,1))/7)+1</f>
        <v>4</v>
      </c>
    </row>
    <row r="204" customFormat="false" ht="15" hidden="false" customHeight="false" outlineLevel="0" collapsed="false">
      <c r="A204" s="25" t="n">
        <v>46226</v>
      </c>
      <c r="B204" s="26" t="s">
        <v>17</v>
      </c>
      <c r="C204" s="26" t="s">
        <v>73</v>
      </c>
      <c r="D204" s="26" t="n">
        <v>480</v>
      </c>
      <c r="E204" s="26" t="n">
        <v>10</v>
      </c>
      <c r="F204" s="26" t="n">
        <v>4164</v>
      </c>
      <c r="G204" s="26" t="n">
        <v>4007</v>
      </c>
      <c r="H204" s="19" t="n">
        <f aca="false">SUMIFS(Paradas!$E$2:$E$1973,Paradas!$A$2:$A$1973,A204,Paradas!$B$2:$B$1973,B204,Paradas!$C$2:$C$1973,C204)</f>
        <v>16</v>
      </c>
      <c r="I204" s="19" t="n">
        <f aca="false">D204-H204</f>
        <v>464</v>
      </c>
      <c r="J204" s="19" t="n">
        <f aca="false">I204*E204</f>
        <v>4640</v>
      </c>
      <c r="K204" s="16" t="n">
        <f aca="false">IF(D204=0,0,I204/D204)</f>
        <v>0.966666666666667</v>
      </c>
      <c r="L204" s="16" t="n">
        <f aca="false">IF(J204=0,0,F204/J204)</f>
        <v>0.897413793103448</v>
      </c>
      <c r="M204" s="16" t="n">
        <f aca="false">IF(F204=0,0,G204/F204)</f>
        <v>0.962295869356388</v>
      </c>
      <c r="N204" s="16" t="n">
        <f aca="false">K204*L204*M204</f>
        <v>0.834791666666667</v>
      </c>
      <c r="O204" s="19" t="n">
        <f aca="false">MONTH(A204)</f>
        <v>7</v>
      </c>
      <c r="P204" s="19" t="n">
        <f aca="false">INT((A204-DATE(2026,7,1))/7)+1</f>
        <v>4</v>
      </c>
    </row>
    <row r="205" customFormat="false" ht="15" hidden="false" customHeight="false" outlineLevel="0" collapsed="false">
      <c r="A205" s="25" t="n">
        <v>46226</v>
      </c>
      <c r="B205" s="26" t="s">
        <v>17</v>
      </c>
      <c r="C205" s="26" t="s">
        <v>74</v>
      </c>
      <c r="D205" s="26" t="n">
        <v>480</v>
      </c>
      <c r="E205" s="26" t="n">
        <v>10</v>
      </c>
      <c r="F205" s="26" t="n">
        <v>3670</v>
      </c>
      <c r="G205" s="26" t="n">
        <v>3513</v>
      </c>
      <c r="H205" s="19" t="n">
        <f aca="false">SUMIFS(Paradas!$E$2:$E$1973,Paradas!$A$2:$A$1973,A205,Paradas!$B$2:$B$1973,B205,Paradas!$C$2:$C$1973,C205)</f>
        <v>67</v>
      </c>
      <c r="I205" s="19" t="n">
        <f aca="false">D205-H205</f>
        <v>413</v>
      </c>
      <c r="J205" s="19" t="n">
        <f aca="false">I205*E205</f>
        <v>4130</v>
      </c>
      <c r="K205" s="16" t="n">
        <f aca="false">IF(D205=0,0,I205/D205)</f>
        <v>0.860416666666667</v>
      </c>
      <c r="L205" s="16" t="n">
        <f aca="false">IF(J205=0,0,F205/J205)</f>
        <v>0.88861985472155</v>
      </c>
      <c r="M205" s="16" t="n">
        <f aca="false">IF(F205=0,0,G205/F205)</f>
        <v>0.957220708446867</v>
      </c>
      <c r="N205" s="16" t="n">
        <f aca="false">K205*L205*M205</f>
        <v>0.731875</v>
      </c>
      <c r="O205" s="19" t="n">
        <f aca="false">MONTH(A205)</f>
        <v>7</v>
      </c>
      <c r="P205" s="19" t="n">
        <f aca="false">INT((A205-DATE(2026,7,1))/7)+1</f>
        <v>4</v>
      </c>
    </row>
    <row r="206" customFormat="false" ht="15" hidden="false" customHeight="false" outlineLevel="0" collapsed="false">
      <c r="A206" s="25" t="n">
        <v>46226</v>
      </c>
      <c r="B206" s="26" t="s">
        <v>18</v>
      </c>
      <c r="C206" s="26" t="s">
        <v>72</v>
      </c>
      <c r="D206" s="26" t="n">
        <v>480</v>
      </c>
      <c r="E206" s="26" t="n">
        <v>8</v>
      </c>
      <c r="F206" s="26" t="n">
        <v>2952</v>
      </c>
      <c r="G206" s="26" t="n">
        <v>2869</v>
      </c>
      <c r="H206" s="19" t="n">
        <f aca="false">SUMIFS(Paradas!$E$2:$E$1973,Paradas!$A$2:$A$1973,A206,Paradas!$B$2:$B$1973,B206,Paradas!$C$2:$C$1973,C206)</f>
        <v>67</v>
      </c>
      <c r="I206" s="19" t="n">
        <f aca="false">D206-H206</f>
        <v>413</v>
      </c>
      <c r="J206" s="19" t="n">
        <f aca="false">I206*E206</f>
        <v>3304</v>
      </c>
      <c r="K206" s="16" t="n">
        <f aca="false">IF(D206=0,0,I206/D206)</f>
        <v>0.860416666666667</v>
      </c>
      <c r="L206" s="16" t="n">
        <f aca="false">IF(J206=0,0,F206/J206)</f>
        <v>0.893462469733656</v>
      </c>
      <c r="M206" s="16" t="n">
        <f aca="false">IF(F206=0,0,G206/F206)</f>
        <v>0.971883468834688</v>
      </c>
      <c r="N206" s="16" t="n">
        <f aca="false">K206*L206*M206</f>
        <v>0.747135416666667</v>
      </c>
      <c r="O206" s="19" t="n">
        <f aca="false">MONTH(A206)</f>
        <v>7</v>
      </c>
      <c r="P206" s="19" t="n">
        <f aca="false">INT((A206-DATE(2026,7,1))/7)+1</f>
        <v>4</v>
      </c>
    </row>
    <row r="207" customFormat="false" ht="15" hidden="false" customHeight="false" outlineLevel="0" collapsed="false">
      <c r="A207" s="25" t="n">
        <v>46226</v>
      </c>
      <c r="B207" s="26" t="s">
        <v>18</v>
      </c>
      <c r="C207" s="26" t="s">
        <v>73</v>
      </c>
      <c r="D207" s="26" t="n">
        <v>480</v>
      </c>
      <c r="E207" s="26" t="n">
        <v>8</v>
      </c>
      <c r="F207" s="26" t="n">
        <v>2912</v>
      </c>
      <c r="G207" s="26" t="n">
        <v>2817</v>
      </c>
      <c r="H207" s="19" t="n">
        <f aca="false">SUMIFS(Paradas!$E$2:$E$1973,Paradas!$A$2:$A$1973,A207,Paradas!$B$2:$B$1973,B207,Paradas!$C$2:$C$1973,C207)</f>
        <v>78</v>
      </c>
      <c r="I207" s="19" t="n">
        <f aca="false">D207-H207</f>
        <v>402</v>
      </c>
      <c r="J207" s="19" t="n">
        <f aca="false">I207*E207</f>
        <v>3216</v>
      </c>
      <c r="K207" s="16" t="n">
        <f aca="false">IF(D207=0,0,I207/D207)</f>
        <v>0.8375</v>
      </c>
      <c r="L207" s="16" t="n">
        <f aca="false">IF(J207=0,0,F207/J207)</f>
        <v>0.90547263681592</v>
      </c>
      <c r="M207" s="16" t="n">
        <f aca="false">IF(F207=0,0,G207/F207)</f>
        <v>0.967376373626374</v>
      </c>
      <c r="N207" s="16" t="n">
        <f aca="false">K207*L207*M207</f>
        <v>0.73359375</v>
      </c>
      <c r="O207" s="19" t="n">
        <f aca="false">MONTH(A207)</f>
        <v>7</v>
      </c>
      <c r="P207" s="19" t="n">
        <f aca="false">INT((A207-DATE(2026,7,1))/7)+1</f>
        <v>4</v>
      </c>
    </row>
    <row r="208" customFormat="false" ht="15" hidden="false" customHeight="false" outlineLevel="0" collapsed="false">
      <c r="A208" s="25" t="n">
        <v>46226</v>
      </c>
      <c r="B208" s="26" t="s">
        <v>18</v>
      </c>
      <c r="C208" s="26" t="s">
        <v>74</v>
      </c>
      <c r="D208" s="26" t="n">
        <v>480</v>
      </c>
      <c r="E208" s="26" t="n">
        <v>8</v>
      </c>
      <c r="F208" s="26" t="n">
        <v>2964</v>
      </c>
      <c r="G208" s="26" t="n">
        <v>2868</v>
      </c>
      <c r="H208" s="19" t="n">
        <f aca="false">SUMIFS(Paradas!$E$2:$E$1973,Paradas!$A$2:$A$1973,A208,Paradas!$B$2:$B$1973,B208,Paradas!$C$2:$C$1973,C208)</f>
        <v>34</v>
      </c>
      <c r="I208" s="19" t="n">
        <f aca="false">D208-H208</f>
        <v>446</v>
      </c>
      <c r="J208" s="19" t="n">
        <f aca="false">I208*E208</f>
        <v>3568</v>
      </c>
      <c r="K208" s="16" t="n">
        <f aca="false">IF(D208=0,0,I208/D208)</f>
        <v>0.929166666666667</v>
      </c>
      <c r="L208" s="16" t="n">
        <f aca="false">IF(J208=0,0,F208/J208)</f>
        <v>0.830717488789238</v>
      </c>
      <c r="M208" s="16" t="n">
        <f aca="false">IF(F208=0,0,G208/F208)</f>
        <v>0.967611336032389</v>
      </c>
      <c r="N208" s="16" t="n">
        <f aca="false">K208*L208*M208</f>
        <v>0.746875</v>
      </c>
      <c r="O208" s="19" t="n">
        <f aca="false">MONTH(A208)</f>
        <v>7</v>
      </c>
      <c r="P208" s="19" t="n">
        <f aca="false">INT((A208-DATE(2026,7,1))/7)+1</f>
        <v>4</v>
      </c>
    </row>
    <row r="209" customFormat="false" ht="15" hidden="false" customHeight="false" outlineLevel="0" collapsed="false">
      <c r="A209" s="25" t="n">
        <v>46227</v>
      </c>
      <c r="B209" s="26" t="s">
        <v>16</v>
      </c>
      <c r="C209" s="26" t="s">
        <v>72</v>
      </c>
      <c r="D209" s="26" t="n">
        <v>480</v>
      </c>
      <c r="E209" s="26" t="n">
        <v>12</v>
      </c>
      <c r="F209" s="26" t="n">
        <v>3148</v>
      </c>
      <c r="G209" s="26" t="n">
        <v>3068</v>
      </c>
      <c r="H209" s="19" t="n">
        <f aca="false">SUMIFS(Paradas!$E$2:$E$1973,Paradas!$A$2:$A$1973,A209,Paradas!$B$2:$B$1973,B209,Paradas!$C$2:$C$1973,C209)</f>
        <v>172</v>
      </c>
      <c r="I209" s="19" t="n">
        <f aca="false">D209-H209</f>
        <v>308</v>
      </c>
      <c r="J209" s="19" t="n">
        <f aca="false">I209*E209</f>
        <v>3696</v>
      </c>
      <c r="K209" s="16" t="n">
        <f aca="false">IF(D209=0,0,I209/D209)</f>
        <v>0.641666666666667</v>
      </c>
      <c r="L209" s="16" t="n">
        <f aca="false">IF(J209=0,0,F209/J209)</f>
        <v>0.851731601731602</v>
      </c>
      <c r="M209" s="16" t="n">
        <f aca="false">IF(F209=0,0,G209/F209)</f>
        <v>0.974587039390089</v>
      </c>
      <c r="N209" s="16" t="n">
        <f aca="false">K209*L209*M209</f>
        <v>0.532638888888889</v>
      </c>
      <c r="O209" s="19" t="n">
        <f aca="false">MONTH(A209)</f>
        <v>7</v>
      </c>
      <c r="P209" s="19" t="n">
        <f aca="false">INT((A209-DATE(2026,7,1))/7)+1</f>
        <v>4</v>
      </c>
    </row>
    <row r="210" customFormat="false" ht="15" hidden="false" customHeight="false" outlineLevel="0" collapsed="false">
      <c r="A210" s="25" t="n">
        <v>46227</v>
      </c>
      <c r="B210" s="26" t="s">
        <v>16</v>
      </c>
      <c r="C210" s="26" t="s">
        <v>73</v>
      </c>
      <c r="D210" s="26" t="n">
        <v>480</v>
      </c>
      <c r="E210" s="26" t="n">
        <v>12</v>
      </c>
      <c r="F210" s="26" t="n">
        <v>5477</v>
      </c>
      <c r="G210" s="26" t="n">
        <v>5320</v>
      </c>
      <c r="H210" s="19" t="n">
        <f aca="false">SUMIFS(Paradas!$E$2:$E$1973,Paradas!$A$2:$A$1973,A210,Paradas!$B$2:$B$1973,B210,Paradas!$C$2:$C$1973,C210)</f>
        <v>0</v>
      </c>
      <c r="I210" s="19" t="n">
        <f aca="false">D210-H210</f>
        <v>480</v>
      </c>
      <c r="J210" s="19" t="n">
        <f aca="false">I210*E210</f>
        <v>5760</v>
      </c>
      <c r="K210" s="16" t="n">
        <f aca="false">IF(D210=0,0,I210/D210)</f>
        <v>1</v>
      </c>
      <c r="L210" s="16" t="n">
        <f aca="false">IF(J210=0,0,F210/J210)</f>
        <v>0.950868055555556</v>
      </c>
      <c r="M210" s="16" t="n">
        <f aca="false">IF(F210=0,0,G210/F210)</f>
        <v>0.971334672265839</v>
      </c>
      <c r="N210" s="16" t="n">
        <f aca="false">K210*L210*M210</f>
        <v>0.923611111111111</v>
      </c>
      <c r="O210" s="19" t="n">
        <f aca="false">MONTH(A210)</f>
        <v>7</v>
      </c>
      <c r="P210" s="19" t="n">
        <f aca="false">INT((A210-DATE(2026,7,1))/7)+1</f>
        <v>4</v>
      </c>
    </row>
    <row r="211" customFormat="false" ht="15" hidden="false" customHeight="false" outlineLevel="0" collapsed="false">
      <c r="A211" s="25" t="n">
        <v>46227</v>
      </c>
      <c r="B211" s="26" t="s">
        <v>16</v>
      </c>
      <c r="C211" s="26" t="s">
        <v>74</v>
      </c>
      <c r="D211" s="26" t="n">
        <v>480</v>
      </c>
      <c r="E211" s="26" t="n">
        <v>12</v>
      </c>
      <c r="F211" s="26" t="n">
        <v>4824</v>
      </c>
      <c r="G211" s="26" t="n">
        <v>4682</v>
      </c>
      <c r="H211" s="19" t="n">
        <f aca="false">SUMIFS(Paradas!$E$2:$E$1973,Paradas!$A$2:$A$1973,A211,Paradas!$B$2:$B$1973,B211,Paradas!$C$2:$C$1973,C211)</f>
        <v>0</v>
      </c>
      <c r="I211" s="19" t="n">
        <f aca="false">D211-H211</f>
        <v>480</v>
      </c>
      <c r="J211" s="19" t="n">
        <f aca="false">I211*E211</f>
        <v>5760</v>
      </c>
      <c r="K211" s="16" t="n">
        <f aca="false">IF(D211=0,0,I211/D211)</f>
        <v>1</v>
      </c>
      <c r="L211" s="16" t="n">
        <f aca="false">IF(J211=0,0,F211/J211)</f>
        <v>0.8375</v>
      </c>
      <c r="M211" s="16" t="n">
        <f aca="false">IF(F211=0,0,G211/F211)</f>
        <v>0.970563847429519</v>
      </c>
      <c r="N211" s="16" t="n">
        <f aca="false">K211*L211*M211</f>
        <v>0.812847222222222</v>
      </c>
      <c r="O211" s="19" t="n">
        <f aca="false">MONTH(A211)</f>
        <v>7</v>
      </c>
      <c r="P211" s="19" t="n">
        <f aca="false">INT((A211-DATE(2026,7,1))/7)+1</f>
        <v>4</v>
      </c>
    </row>
    <row r="212" customFormat="false" ht="15" hidden="false" customHeight="false" outlineLevel="0" collapsed="false">
      <c r="A212" s="25" t="n">
        <v>46227</v>
      </c>
      <c r="B212" s="26" t="s">
        <v>17</v>
      </c>
      <c r="C212" s="26" t="s">
        <v>72</v>
      </c>
      <c r="D212" s="26" t="n">
        <v>480</v>
      </c>
      <c r="E212" s="26" t="n">
        <v>10</v>
      </c>
      <c r="F212" s="26" t="n">
        <v>2576</v>
      </c>
      <c r="G212" s="26" t="n">
        <v>2452</v>
      </c>
      <c r="H212" s="19" t="n">
        <f aca="false">SUMIFS(Paradas!$E$2:$E$1973,Paradas!$A$2:$A$1973,A212,Paradas!$B$2:$B$1973,B212,Paradas!$C$2:$C$1973,C212)</f>
        <v>183</v>
      </c>
      <c r="I212" s="19" t="n">
        <f aca="false">D212-H212</f>
        <v>297</v>
      </c>
      <c r="J212" s="19" t="n">
        <f aca="false">I212*E212</f>
        <v>2970</v>
      </c>
      <c r="K212" s="16" t="n">
        <f aca="false">IF(D212=0,0,I212/D212)</f>
        <v>0.61875</v>
      </c>
      <c r="L212" s="16" t="n">
        <f aca="false">IF(J212=0,0,F212/J212)</f>
        <v>0.867340067340067</v>
      </c>
      <c r="M212" s="16" t="n">
        <f aca="false">IF(F212=0,0,G212/F212)</f>
        <v>0.951863354037267</v>
      </c>
      <c r="N212" s="16" t="n">
        <f aca="false">K212*L212*M212</f>
        <v>0.510833333333333</v>
      </c>
      <c r="O212" s="19" t="n">
        <f aca="false">MONTH(A212)</f>
        <v>7</v>
      </c>
      <c r="P212" s="19" t="n">
        <f aca="false">INT((A212-DATE(2026,7,1))/7)+1</f>
        <v>4</v>
      </c>
    </row>
    <row r="213" customFormat="false" ht="15" hidden="false" customHeight="false" outlineLevel="0" collapsed="false">
      <c r="A213" s="25" t="n">
        <v>46227</v>
      </c>
      <c r="B213" s="26" t="s">
        <v>17</v>
      </c>
      <c r="C213" s="26" t="s">
        <v>73</v>
      </c>
      <c r="D213" s="26" t="n">
        <v>480</v>
      </c>
      <c r="E213" s="26" t="n">
        <v>10</v>
      </c>
      <c r="F213" s="26" t="n">
        <v>4172</v>
      </c>
      <c r="G213" s="26" t="n">
        <v>3932</v>
      </c>
      <c r="H213" s="19" t="n">
        <f aca="false">SUMIFS(Paradas!$E$2:$E$1973,Paradas!$A$2:$A$1973,A213,Paradas!$B$2:$B$1973,B213,Paradas!$C$2:$C$1973,C213)</f>
        <v>26</v>
      </c>
      <c r="I213" s="19" t="n">
        <f aca="false">D213-H213</f>
        <v>454</v>
      </c>
      <c r="J213" s="19" t="n">
        <f aca="false">I213*E213</f>
        <v>4540</v>
      </c>
      <c r="K213" s="16" t="n">
        <f aca="false">IF(D213=0,0,I213/D213)</f>
        <v>0.945833333333333</v>
      </c>
      <c r="L213" s="16" t="n">
        <f aca="false">IF(J213=0,0,F213/J213)</f>
        <v>0.918942731277533</v>
      </c>
      <c r="M213" s="16" t="n">
        <f aca="false">IF(F213=0,0,G213/F213)</f>
        <v>0.942473633748802</v>
      </c>
      <c r="N213" s="16" t="n">
        <f aca="false">K213*L213*M213</f>
        <v>0.819166666666667</v>
      </c>
      <c r="O213" s="19" t="n">
        <f aca="false">MONTH(A213)</f>
        <v>7</v>
      </c>
      <c r="P213" s="19" t="n">
        <f aca="false">INT((A213-DATE(2026,7,1))/7)+1</f>
        <v>4</v>
      </c>
    </row>
    <row r="214" customFormat="false" ht="15" hidden="false" customHeight="false" outlineLevel="0" collapsed="false">
      <c r="A214" s="25" t="n">
        <v>46227</v>
      </c>
      <c r="B214" s="26" t="s">
        <v>17</v>
      </c>
      <c r="C214" s="26" t="s">
        <v>74</v>
      </c>
      <c r="D214" s="26" t="n">
        <v>480</v>
      </c>
      <c r="E214" s="26" t="n">
        <v>10</v>
      </c>
      <c r="F214" s="26" t="n">
        <v>4127</v>
      </c>
      <c r="G214" s="26" t="n">
        <v>3927</v>
      </c>
      <c r="H214" s="19" t="n">
        <f aca="false">SUMIFS(Paradas!$E$2:$E$1973,Paradas!$A$2:$A$1973,A214,Paradas!$B$2:$B$1973,B214,Paradas!$C$2:$C$1973,C214)</f>
        <v>30</v>
      </c>
      <c r="I214" s="19" t="n">
        <f aca="false">D214-H214</f>
        <v>450</v>
      </c>
      <c r="J214" s="19" t="n">
        <f aca="false">I214*E214</f>
        <v>4500</v>
      </c>
      <c r="K214" s="16" t="n">
        <f aca="false">IF(D214=0,0,I214/D214)</f>
        <v>0.9375</v>
      </c>
      <c r="L214" s="16" t="n">
        <f aca="false">IF(J214=0,0,F214/J214)</f>
        <v>0.917111111111111</v>
      </c>
      <c r="M214" s="16" t="n">
        <f aca="false">IF(F214=0,0,G214/F214)</f>
        <v>0.951538647928277</v>
      </c>
      <c r="N214" s="16" t="n">
        <f aca="false">K214*L214*M214</f>
        <v>0.818125</v>
      </c>
      <c r="O214" s="19" t="n">
        <f aca="false">MONTH(A214)</f>
        <v>7</v>
      </c>
      <c r="P214" s="19" t="n">
        <f aca="false">INT((A214-DATE(2026,7,1))/7)+1</f>
        <v>4</v>
      </c>
    </row>
    <row r="215" customFormat="false" ht="15" hidden="false" customHeight="false" outlineLevel="0" collapsed="false">
      <c r="A215" s="25" t="n">
        <v>46227</v>
      </c>
      <c r="B215" s="26" t="s">
        <v>18</v>
      </c>
      <c r="C215" s="26" t="s">
        <v>72</v>
      </c>
      <c r="D215" s="26" t="n">
        <v>480</v>
      </c>
      <c r="E215" s="26" t="n">
        <v>8</v>
      </c>
      <c r="F215" s="26" t="n">
        <v>2971</v>
      </c>
      <c r="G215" s="26" t="n">
        <v>2847</v>
      </c>
      <c r="H215" s="19" t="n">
        <f aca="false">SUMIFS(Paradas!$E$2:$E$1973,Paradas!$A$2:$A$1973,A215,Paradas!$B$2:$B$1973,B215,Paradas!$C$2:$C$1973,C215)</f>
        <v>86</v>
      </c>
      <c r="I215" s="19" t="n">
        <f aca="false">D215-H215</f>
        <v>394</v>
      </c>
      <c r="J215" s="19" t="n">
        <f aca="false">I215*E215</f>
        <v>3152</v>
      </c>
      <c r="K215" s="16" t="n">
        <f aca="false">IF(D215=0,0,I215/D215)</f>
        <v>0.820833333333333</v>
      </c>
      <c r="L215" s="16" t="n">
        <f aca="false">IF(J215=0,0,F215/J215)</f>
        <v>0.94257614213198</v>
      </c>
      <c r="M215" s="16" t="n">
        <f aca="false">IF(F215=0,0,G215/F215)</f>
        <v>0.958263211040054</v>
      </c>
      <c r="N215" s="16" t="n">
        <f aca="false">K215*L215*M215</f>
        <v>0.74140625</v>
      </c>
      <c r="O215" s="19" t="n">
        <f aca="false">MONTH(A215)</f>
        <v>7</v>
      </c>
      <c r="P215" s="19" t="n">
        <f aca="false">INT((A215-DATE(2026,7,1))/7)+1</f>
        <v>4</v>
      </c>
    </row>
    <row r="216" customFormat="false" ht="15" hidden="false" customHeight="false" outlineLevel="0" collapsed="false">
      <c r="A216" s="25" t="n">
        <v>46227</v>
      </c>
      <c r="B216" s="26" t="s">
        <v>18</v>
      </c>
      <c r="C216" s="26" t="s">
        <v>73</v>
      </c>
      <c r="D216" s="26" t="n">
        <v>480</v>
      </c>
      <c r="E216" s="26" t="n">
        <v>8</v>
      </c>
      <c r="F216" s="26" t="n">
        <v>2277</v>
      </c>
      <c r="G216" s="26" t="n">
        <v>2149</v>
      </c>
      <c r="H216" s="19" t="n">
        <f aca="false">SUMIFS(Paradas!$E$2:$E$1973,Paradas!$A$2:$A$1973,A216,Paradas!$B$2:$B$1973,B216,Paradas!$C$2:$C$1973,C216)</f>
        <v>172</v>
      </c>
      <c r="I216" s="19" t="n">
        <f aca="false">D216-H216</f>
        <v>308</v>
      </c>
      <c r="J216" s="19" t="n">
        <f aca="false">I216*E216</f>
        <v>2464</v>
      </c>
      <c r="K216" s="16" t="n">
        <f aca="false">IF(D216=0,0,I216/D216)</f>
        <v>0.641666666666667</v>
      </c>
      <c r="L216" s="16" t="n">
        <f aca="false">IF(J216=0,0,F216/J216)</f>
        <v>0.924107142857143</v>
      </c>
      <c r="M216" s="16" t="n">
        <f aca="false">IF(F216=0,0,G216/F216)</f>
        <v>0.943785682916118</v>
      </c>
      <c r="N216" s="16" t="n">
        <f aca="false">K216*L216*M216</f>
        <v>0.559635416666667</v>
      </c>
      <c r="O216" s="19" t="n">
        <f aca="false">MONTH(A216)</f>
        <v>7</v>
      </c>
      <c r="P216" s="19" t="n">
        <f aca="false">INT((A216-DATE(2026,7,1))/7)+1</f>
        <v>4</v>
      </c>
    </row>
    <row r="217" customFormat="false" ht="15" hidden="false" customHeight="false" outlineLevel="0" collapsed="false">
      <c r="A217" s="25" t="n">
        <v>46227</v>
      </c>
      <c r="B217" s="26" t="s">
        <v>18</v>
      </c>
      <c r="C217" s="26" t="s">
        <v>74</v>
      </c>
      <c r="D217" s="26" t="n">
        <v>480</v>
      </c>
      <c r="E217" s="26" t="n">
        <v>8</v>
      </c>
      <c r="F217" s="26" t="n">
        <v>2316</v>
      </c>
      <c r="G217" s="26" t="n">
        <v>2288</v>
      </c>
      <c r="H217" s="19" t="n">
        <f aca="false">SUMIFS(Paradas!$E$2:$E$1973,Paradas!$A$2:$A$1973,A217,Paradas!$B$2:$B$1973,B217,Paradas!$C$2:$C$1973,C217)</f>
        <v>125</v>
      </c>
      <c r="I217" s="19" t="n">
        <f aca="false">D217-H217</f>
        <v>355</v>
      </c>
      <c r="J217" s="19" t="n">
        <f aca="false">I217*E217</f>
        <v>2840</v>
      </c>
      <c r="K217" s="16" t="n">
        <f aca="false">IF(D217=0,0,I217/D217)</f>
        <v>0.739583333333333</v>
      </c>
      <c r="L217" s="16" t="n">
        <f aca="false">IF(J217=0,0,F217/J217)</f>
        <v>0.815492957746479</v>
      </c>
      <c r="M217" s="16" t="n">
        <f aca="false">IF(F217=0,0,G217/F217)</f>
        <v>0.987910189982729</v>
      </c>
      <c r="N217" s="16" t="n">
        <f aca="false">K217*L217*M217</f>
        <v>0.595833333333333</v>
      </c>
      <c r="O217" s="19" t="n">
        <f aca="false">MONTH(A217)</f>
        <v>7</v>
      </c>
      <c r="P217" s="19" t="n">
        <f aca="false">INT((A217-DATE(2026,7,1))/7)+1</f>
        <v>4</v>
      </c>
    </row>
    <row r="218" customFormat="false" ht="15" hidden="false" customHeight="false" outlineLevel="0" collapsed="false">
      <c r="A218" s="25" t="n">
        <v>46228</v>
      </c>
      <c r="B218" s="26" t="s">
        <v>16</v>
      </c>
      <c r="C218" s="26" t="s">
        <v>72</v>
      </c>
      <c r="D218" s="26" t="n">
        <v>480</v>
      </c>
      <c r="E218" s="26" t="n">
        <v>12</v>
      </c>
      <c r="F218" s="26" t="n">
        <v>4635</v>
      </c>
      <c r="G218" s="26" t="n">
        <v>4586</v>
      </c>
      <c r="H218" s="19" t="n">
        <f aca="false">SUMIFS(Paradas!$E$2:$E$1973,Paradas!$A$2:$A$1973,A218,Paradas!$B$2:$B$1973,B218,Paradas!$C$2:$C$1973,C218)</f>
        <v>50</v>
      </c>
      <c r="I218" s="19" t="n">
        <f aca="false">D218-H218</f>
        <v>430</v>
      </c>
      <c r="J218" s="19" t="n">
        <f aca="false">I218*E218</f>
        <v>5160</v>
      </c>
      <c r="K218" s="16" t="n">
        <f aca="false">IF(D218=0,0,I218/D218)</f>
        <v>0.895833333333333</v>
      </c>
      <c r="L218" s="16" t="n">
        <f aca="false">IF(J218=0,0,F218/J218)</f>
        <v>0.898255813953488</v>
      </c>
      <c r="M218" s="16" t="n">
        <f aca="false">IF(F218=0,0,G218/F218)</f>
        <v>0.989428263214671</v>
      </c>
      <c r="N218" s="16" t="n">
        <f aca="false">K218*L218*M218</f>
        <v>0.796180555555556</v>
      </c>
      <c r="O218" s="19" t="n">
        <f aca="false">MONTH(A218)</f>
        <v>7</v>
      </c>
      <c r="P218" s="19" t="n">
        <f aca="false">INT((A218-DATE(2026,7,1))/7)+1</f>
        <v>4</v>
      </c>
    </row>
    <row r="219" customFormat="false" ht="15" hidden="false" customHeight="false" outlineLevel="0" collapsed="false">
      <c r="A219" s="25" t="n">
        <v>46228</v>
      </c>
      <c r="B219" s="26" t="s">
        <v>16</v>
      </c>
      <c r="C219" s="26" t="s">
        <v>73</v>
      </c>
      <c r="D219" s="26" t="n">
        <v>480</v>
      </c>
      <c r="E219" s="26" t="n">
        <v>12</v>
      </c>
      <c r="F219" s="26" t="n">
        <v>4453</v>
      </c>
      <c r="G219" s="26" t="n">
        <v>4380</v>
      </c>
      <c r="H219" s="19" t="n">
        <f aca="false">SUMIFS(Paradas!$E$2:$E$1973,Paradas!$A$2:$A$1973,A219,Paradas!$B$2:$B$1973,B219,Paradas!$C$2:$C$1973,C219)</f>
        <v>81</v>
      </c>
      <c r="I219" s="19" t="n">
        <f aca="false">D219-H219</f>
        <v>399</v>
      </c>
      <c r="J219" s="19" t="n">
        <f aca="false">I219*E219</f>
        <v>4788</v>
      </c>
      <c r="K219" s="16" t="n">
        <f aca="false">IF(D219=0,0,I219/D219)</f>
        <v>0.83125</v>
      </c>
      <c r="L219" s="16" t="n">
        <f aca="false">IF(J219=0,0,F219/J219)</f>
        <v>0.930033416875522</v>
      </c>
      <c r="M219" s="16" t="n">
        <f aca="false">IF(F219=0,0,G219/F219)</f>
        <v>0.983606557377049</v>
      </c>
      <c r="N219" s="16" t="n">
        <f aca="false">K219*L219*M219</f>
        <v>0.760416666666667</v>
      </c>
      <c r="O219" s="19" t="n">
        <f aca="false">MONTH(A219)</f>
        <v>7</v>
      </c>
      <c r="P219" s="19" t="n">
        <f aca="false">INT((A219-DATE(2026,7,1))/7)+1</f>
        <v>4</v>
      </c>
    </row>
    <row r="220" customFormat="false" ht="15" hidden="false" customHeight="false" outlineLevel="0" collapsed="false">
      <c r="A220" s="25" t="n">
        <v>46228</v>
      </c>
      <c r="B220" s="26" t="s">
        <v>16</v>
      </c>
      <c r="C220" s="26" t="s">
        <v>74</v>
      </c>
      <c r="D220" s="26" t="n">
        <v>480</v>
      </c>
      <c r="E220" s="26" t="n">
        <v>12</v>
      </c>
      <c r="F220" s="26" t="n">
        <v>4628</v>
      </c>
      <c r="G220" s="26" t="n">
        <v>4481</v>
      </c>
      <c r="H220" s="19" t="n">
        <f aca="false">SUMIFS(Paradas!$E$2:$E$1973,Paradas!$A$2:$A$1973,A220,Paradas!$B$2:$B$1973,B220,Paradas!$C$2:$C$1973,C220)</f>
        <v>21</v>
      </c>
      <c r="I220" s="19" t="n">
        <f aca="false">D220-H220</f>
        <v>459</v>
      </c>
      <c r="J220" s="19" t="n">
        <f aca="false">I220*E220</f>
        <v>5508</v>
      </c>
      <c r="K220" s="16" t="n">
        <f aca="false">IF(D220=0,0,I220/D220)</f>
        <v>0.95625</v>
      </c>
      <c r="L220" s="16" t="n">
        <f aca="false">IF(J220=0,0,F220/J220)</f>
        <v>0.840232389251997</v>
      </c>
      <c r="M220" s="16" t="n">
        <f aca="false">IF(F220=0,0,G220/F220)</f>
        <v>0.968236819360415</v>
      </c>
      <c r="N220" s="16" t="n">
        <f aca="false">K220*L220*M220</f>
        <v>0.777951388888889</v>
      </c>
      <c r="O220" s="19" t="n">
        <f aca="false">MONTH(A220)</f>
        <v>7</v>
      </c>
      <c r="P220" s="19" t="n">
        <f aca="false">INT((A220-DATE(2026,7,1))/7)+1</f>
        <v>4</v>
      </c>
    </row>
    <row r="221" customFormat="false" ht="15" hidden="false" customHeight="false" outlineLevel="0" collapsed="false">
      <c r="A221" s="25" t="n">
        <v>46228</v>
      </c>
      <c r="B221" s="26" t="s">
        <v>17</v>
      </c>
      <c r="C221" s="26" t="s">
        <v>72</v>
      </c>
      <c r="D221" s="26" t="n">
        <v>480</v>
      </c>
      <c r="E221" s="26" t="n">
        <v>10</v>
      </c>
      <c r="F221" s="26" t="n">
        <v>3691</v>
      </c>
      <c r="G221" s="26" t="n">
        <v>3578</v>
      </c>
      <c r="H221" s="19" t="n">
        <f aca="false">SUMIFS(Paradas!$E$2:$E$1973,Paradas!$A$2:$A$1973,A221,Paradas!$B$2:$B$1973,B221,Paradas!$C$2:$C$1973,C221)</f>
        <v>45</v>
      </c>
      <c r="I221" s="19" t="n">
        <f aca="false">D221-H221</f>
        <v>435</v>
      </c>
      <c r="J221" s="19" t="n">
        <f aca="false">I221*E221</f>
        <v>4350</v>
      </c>
      <c r="K221" s="16" t="n">
        <f aca="false">IF(D221=0,0,I221/D221)</f>
        <v>0.90625</v>
      </c>
      <c r="L221" s="16" t="n">
        <f aca="false">IF(J221=0,0,F221/J221)</f>
        <v>0.848505747126437</v>
      </c>
      <c r="M221" s="16" t="n">
        <f aca="false">IF(F221=0,0,G221/F221)</f>
        <v>0.969384990517475</v>
      </c>
      <c r="N221" s="16" t="n">
        <f aca="false">K221*L221*M221</f>
        <v>0.745416666666667</v>
      </c>
      <c r="O221" s="19" t="n">
        <f aca="false">MONTH(A221)</f>
        <v>7</v>
      </c>
      <c r="P221" s="19" t="n">
        <f aca="false">INT((A221-DATE(2026,7,1))/7)+1</f>
        <v>4</v>
      </c>
    </row>
    <row r="222" customFormat="false" ht="15" hidden="false" customHeight="false" outlineLevel="0" collapsed="false">
      <c r="A222" s="25" t="n">
        <v>46228</v>
      </c>
      <c r="B222" s="26" t="s">
        <v>17</v>
      </c>
      <c r="C222" s="26" t="s">
        <v>73</v>
      </c>
      <c r="D222" s="26" t="n">
        <v>480</v>
      </c>
      <c r="E222" s="26" t="n">
        <v>10</v>
      </c>
      <c r="F222" s="26" t="n">
        <v>3501</v>
      </c>
      <c r="G222" s="26" t="n">
        <v>3349</v>
      </c>
      <c r="H222" s="19" t="n">
        <f aca="false">SUMIFS(Paradas!$E$2:$E$1973,Paradas!$A$2:$A$1973,A222,Paradas!$B$2:$B$1973,B222,Paradas!$C$2:$C$1973,C222)</f>
        <v>77</v>
      </c>
      <c r="I222" s="19" t="n">
        <f aca="false">D222-H222</f>
        <v>403</v>
      </c>
      <c r="J222" s="19" t="n">
        <f aca="false">I222*E222</f>
        <v>4030</v>
      </c>
      <c r="K222" s="16" t="n">
        <f aca="false">IF(D222=0,0,I222/D222)</f>
        <v>0.839583333333333</v>
      </c>
      <c r="L222" s="16" t="n">
        <f aca="false">IF(J222=0,0,F222/J222)</f>
        <v>0.868734491315137</v>
      </c>
      <c r="M222" s="16" t="n">
        <f aca="false">IF(F222=0,0,G222/F222)</f>
        <v>0.956583833190517</v>
      </c>
      <c r="N222" s="16" t="n">
        <f aca="false">K222*L222*M222</f>
        <v>0.697708333333333</v>
      </c>
      <c r="O222" s="19" t="n">
        <f aca="false">MONTH(A222)</f>
        <v>7</v>
      </c>
      <c r="P222" s="19" t="n">
        <f aca="false">INT((A222-DATE(2026,7,1))/7)+1</f>
        <v>4</v>
      </c>
    </row>
    <row r="223" customFormat="false" ht="15" hidden="false" customHeight="false" outlineLevel="0" collapsed="false">
      <c r="A223" s="25" t="n">
        <v>46228</v>
      </c>
      <c r="B223" s="26" t="s">
        <v>17</v>
      </c>
      <c r="C223" s="26" t="s">
        <v>74</v>
      </c>
      <c r="D223" s="26" t="n">
        <v>480</v>
      </c>
      <c r="E223" s="26" t="n">
        <v>10</v>
      </c>
      <c r="F223" s="26" t="n">
        <v>3541</v>
      </c>
      <c r="G223" s="26" t="n">
        <v>3431</v>
      </c>
      <c r="H223" s="19" t="n">
        <f aca="false">SUMIFS(Paradas!$E$2:$E$1973,Paradas!$A$2:$A$1973,A223,Paradas!$B$2:$B$1973,B223,Paradas!$C$2:$C$1973,C223)</f>
        <v>65</v>
      </c>
      <c r="I223" s="19" t="n">
        <f aca="false">D223-H223</f>
        <v>415</v>
      </c>
      <c r="J223" s="19" t="n">
        <f aca="false">I223*E223</f>
        <v>4150</v>
      </c>
      <c r="K223" s="16" t="n">
        <f aca="false">IF(D223=0,0,I223/D223)</f>
        <v>0.864583333333333</v>
      </c>
      <c r="L223" s="16" t="n">
        <f aca="false">IF(J223=0,0,F223/J223)</f>
        <v>0.853253012048193</v>
      </c>
      <c r="M223" s="16" t="n">
        <f aca="false">IF(F223=0,0,G223/F223)</f>
        <v>0.968935329003106</v>
      </c>
      <c r="N223" s="16" t="n">
        <f aca="false">K223*L223*M223</f>
        <v>0.714791666666667</v>
      </c>
      <c r="O223" s="19" t="n">
        <f aca="false">MONTH(A223)</f>
        <v>7</v>
      </c>
      <c r="P223" s="19" t="n">
        <f aca="false">INT((A223-DATE(2026,7,1))/7)+1</f>
        <v>4</v>
      </c>
    </row>
    <row r="224" customFormat="false" ht="15" hidden="false" customHeight="false" outlineLevel="0" collapsed="false">
      <c r="A224" s="25" t="n">
        <v>46228</v>
      </c>
      <c r="B224" s="26" t="s">
        <v>18</v>
      </c>
      <c r="C224" s="26" t="s">
        <v>72</v>
      </c>
      <c r="D224" s="26" t="n">
        <v>480</v>
      </c>
      <c r="E224" s="26" t="n">
        <v>8</v>
      </c>
      <c r="F224" s="26" t="n">
        <v>2893</v>
      </c>
      <c r="G224" s="26" t="n">
        <v>2840</v>
      </c>
      <c r="H224" s="19" t="n">
        <f aca="false">SUMIFS(Paradas!$E$2:$E$1973,Paradas!$A$2:$A$1973,A224,Paradas!$B$2:$B$1973,B224,Paradas!$C$2:$C$1973,C224)</f>
        <v>62</v>
      </c>
      <c r="I224" s="19" t="n">
        <f aca="false">D224-H224</f>
        <v>418</v>
      </c>
      <c r="J224" s="19" t="n">
        <f aca="false">I224*E224</f>
        <v>3344</v>
      </c>
      <c r="K224" s="16" t="n">
        <f aca="false">IF(D224=0,0,I224/D224)</f>
        <v>0.870833333333333</v>
      </c>
      <c r="L224" s="16" t="n">
        <f aca="false">IF(J224=0,0,F224/J224)</f>
        <v>0.865131578947369</v>
      </c>
      <c r="M224" s="16" t="n">
        <f aca="false">IF(F224=0,0,G224/F224)</f>
        <v>0.981679917041134</v>
      </c>
      <c r="N224" s="16" t="n">
        <f aca="false">K224*L224*M224</f>
        <v>0.739583333333333</v>
      </c>
      <c r="O224" s="19" t="n">
        <f aca="false">MONTH(A224)</f>
        <v>7</v>
      </c>
      <c r="P224" s="19" t="n">
        <f aca="false">INT((A224-DATE(2026,7,1))/7)+1</f>
        <v>4</v>
      </c>
    </row>
    <row r="225" customFormat="false" ht="15" hidden="false" customHeight="false" outlineLevel="0" collapsed="false">
      <c r="A225" s="25" t="n">
        <v>46228</v>
      </c>
      <c r="B225" s="26" t="s">
        <v>18</v>
      </c>
      <c r="C225" s="26" t="s">
        <v>73</v>
      </c>
      <c r="D225" s="26" t="n">
        <v>480</v>
      </c>
      <c r="E225" s="26" t="n">
        <v>8</v>
      </c>
      <c r="F225" s="26" t="n">
        <v>2554</v>
      </c>
      <c r="G225" s="26" t="n">
        <v>2500</v>
      </c>
      <c r="H225" s="19" t="n">
        <f aca="false">SUMIFS(Paradas!$E$2:$E$1973,Paradas!$A$2:$A$1973,A225,Paradas!$B$2:$B$1973,B225,Paradas!$C$2:$C$1973,C225)</f>
        <v>131</v>
      </c>
      <c r="I225" s="19" t="n">
        <f aca="false">D225-H225</f>
        <v>349</v>
      </c>
      <c r="J225" s="19" t="n">
        <f aca="false">I225*E225</f>
        <v>2792</v>
      </c>
      <c r="K225" s="16" t="n">
        <f aca="false">IF(D225=0,0,I225/D225)</f>
        <v>0.727083333333333</v>
      </c>
      <c r="L225" s="16" t="n">
        <f aca="false">IF(J225=0,0,F225/J225)</f>
        <v>0.914756446991404</v>
      </c>
      <c r="M225" s="16" t="n">
        <f aca="false">IF(F225=0,0,G225/F225)</f>
        <v>0.978856695379796</v>
      </c>
      <c r="N225" s="16" t="n">
        <f aca="false">K225*L225*M225</f>
        <v>0.651041666666667</v>
      </c>
      <c r="O225" s="19" t="n">
        <f aca="false">MONTH(A225)</f>
        <v>7</v>
      </c>
      <c r="P225" s="19" t="n">
        <f aca="false">INT((A225-DATE(2026,7,1))/7)+1</f>
        <v>4</v>
      </c>
    </row>
    <row r="226" customFormat="false" ht="15" hidden="false" customHeight="false" outlineLevel="0" collapsed="false">
      <c r="A226" s="25" t="n">
        <v>46228</v>
      </c>
      <c r="B226" s="26" t="s">
        <v>18</v>
      </c>
      <c r="C226" s="26" t="s">
        <v>74</v>
      </c>
      <c r="D226" s="26" t="n">
        <v>480</v>
      </c>
      <c r="E226" s="26" t="n">
        <v>8</v>
      </c>
      <c r="F226" s="26" t="n">
        <v>3463</v>
      </c>
      <c r="G226" s="26" t="n">
        <v>3445</v>
      </c>
      <c r="H226" s="19" t="n">
        <f aca="false">SUMIFS(Paradas!$E$2:$E$1973,Paradas!$A$2:$A$1973,A226,Paradas!$B$2:$B$1973,B226,Paradas!$C$2:$C$1973,C226)</f>
        <v>0</v>
      </c>
      <c r="I226" s="19" t="n">
        <f aca="false">D226-H226</f>
        <v>480</v>
      </c>
      <c r="J226" s="19" t="n">
        <f aca="false">I226*E226</f>
        <v>3840</v>
      </c>
      <c r="K226" s="16" t="n">
        <f aca="false">IF(D226=0,0,I226/D226)</f>
        <v>1</v>
      </c>
      <c r="L226" s="16" t="n">
        <f aca="false">IF(J226=0,0,F226/J226)</f>
        <v>0.901822916666667</v>
      </c>
      <c r="M226" s="16" t="n">
        <f aca="false">IF(F226=0,0,G226/F226)</f>
        <v>0.994802194628935</v>
      </c>
      <c r="N226" s="16" t="n">
        <f aca="false">K226*L226*M226</f>
        <v>0.897135416666667</v>
      </c>
      <c r="O226" s="19" t="n">
        <f aca="false">MONTH(A226)</f>
        <v>7</v>
      </c>
      <c r="P226" s="19" t="n">
        <f aca="false">INT((A226-DATE(2026,7,1))/7)+1</f>
        <v>4</v>
      </c>
    </row>
    <row r="227" customFormat="false" ht="15" hidden="false" customHeight="false" outlineLevel="0" collapsed="false">
      <c r="A227" s="25" t="n">
        <v>46229</v>
      </c>
      <c r="B227" s="26" t="s">
        <v>16</v>
      </c>
      <c r="C227" s="26" t="s">
        <v>72</v>
      </c>
      <c r="D227" s="26" t="n">
        <v>480</v>
      </c>
      <c r="E227" s="26" t="n">
        <v>12</v>
      </c>
      <c r="F227" s="26" t="n">
        <v>4615</v>
      </c>
      <c r="G227" s="26" t="n">
        <v>4518</v>
      </c>
      <c r="H227" s="19" t="n">
        <f aca="false">SUMIFS(Paradas!$E$2:$E$1973,Paradas!$A$2:$A$1973,A227,Paradas!$B$2:$B$1973,B227,Paradas!$C$2:$C$1973,C227)</f>
        <v>50</v>
      </c>
      <c r="I227" s="19" t="n">
        <f aca="false">D227-H227</f>
        <v>430</v>
      </c>
      <c r="J227" s="19" t="n">
        <f aca="false">I227*E227</f>
        <v>5160</v>
      </c>
      <c r="K227" s="16" t="n">
        <f aca="false">IF(D227=0,0,I227/D227)</f>
        <v>0.895833333333333</v>
      </c>
      <c r="L227" s="16" t="n">
        <f aca="false">IF(J227=0,0,F227/J227)</f>
        <v>0.89437984496124</v>
      </c>
      <c r="M227" s="16" t="n">
        <f aca="false">IF(F227=0,0,G227/F227)</f>
        <v>0.978981581798483</v>
      </c>
      <c r="N227" s="16" t="n">
        <f aca="false">K227*L227*M227</f>
        <v>0.784375</v>
      </c>
      <c r="O227" s="19" t="n">
        <f aca="false">MONTH(A227)</f>
        <v>7</v>
      </c>
      <c r="P227" s="19" t="n">
        <f aca="false">INT((A227-DATE(2026,7,1))/7)+1</f>
        <v>4</v>
      </c>
    </row>
    <row r="228" customFormat="false" ht="15" hidden="false" customHeight="false" outlineLevel="0" collapsed="false">
      <c r="A228" s="25" t="n">
        <v>46229</v>
      </c>
      <c r="B228" s="26" t="s">
        <v>16</v>
      </c>
      <c r="C228" s="26" t="s">
        <v>73</v>
      </c>
      <c r="D228" s="26" t="n">
        <v>480</v>
      </c>
      <c r="E228" s="26" t="n">
        <v>12</v>
      </c>
      <c r="F228" s="26" t="n">
        <v>4786</v>
      </c>
      <c r="G228" s="26" t="n">
        <v>4642</v>
      </c>
      <c r="H228" s="19" t="n">
        <f aca="false">SUMIFS(Paradas!$E$2:$E$1973,Paradas!$A$2:$A$1973,A228,Paradas!$B$2:$B$1973,B228,Paradas!$C$2:$C$1973,C228)</f>
        <v>18</v>
      </c>
      <c r="I228" s="19" t="n">
        <f aca="false">D228-H228</f>
        <v>462</v>
      </c>
      <c r="J228" s="19" t="n">
        <f aca="false">I228*E228</f>
        <v>5544</v>
      </c>
      <c r="K228" s="16" t="n">
        <f aca="false">IF(D228=0,0,I228/D228)</f>
        <v>0.9625</v>
      </c>
      <c r="L228" s="16" t="n">
        <f aca="false">IF(J228=0,0,F228/J228)</f>
        <v>0.863275613275613</v>
      </c>
      <c r="M228" s="16" t="n">
        <f aca="false">IF(F228=0,0,G228/F228)</f>
        <v>0.969912244045132</v>
      </c>
      <c r="N228" s="16" t="n">
        <f aca="false">K228*L228*M228</f>
        <v>0.805902777777778</v>
      </c>
      <c r="O228" s="19" t="n">
        <f aca="false">MONTH(A228)</f>
        <v>7</v>
      </c>
      <c r="P228" s="19" t="n">
        <f aca="false">INT((A228-DATE(2026,7,1))/7)+1</f>
        <v>4</v>
      </c>
    </row>
    <row r="229" customFormat="false" ht="15" hidden="false" customHeight="false" outlineLevel="0" collapsed="false">
      <c r="A229" s="25" t="n">
        <v>46229</v>
      </c>
      <c r="B229" s="26" t="s">
        <v>16</v>
      </c>
      <c r="C229" s="26" t="s">
        <v>74</v>
      </c>
      <c r="D229" s="26" t="n">
        <v>480</v>
      </c>
      <c r="E229" s="26" t="n">
        <v>12</v>
      </c>
      <c r="F229" s="26" t="n">
        <v>4579</v>
      </c>
      <c r="G229" s="26" t="n">
        <v>4527</v>
      </c>
      <c r="H229" s="19" t="n">
        <f aca="false">SUMIFS(Paradas!$E$2:$E$1973,Paradas!$A$2:$A$1973,A229,Paradas!$B$2:$B$1973,B229,Paradas!$C$2:$C$1973,C229)</f>
        <v>23</v>
      </c>
      <c r="I229" s="19" t="n">
        <f aca="false">D229-H229</f>
        <v>457</v>
      </c>
      <c r="J229" s="19" t="n">
        <f aca="false">I229*E229</f>
        <v>5484</v>
      </c>
      <c r="K229" s="16" t="n">
        <f aca="false">IF(D229=0,0,I229/D229)</f>
        <v>0.952083333333333</v>
      </c>
      <c r="L229" s="16" t="n">
        <f aca="false">IF(J229=0,0,F229/J229)</f>
        <v>0.834974471188913</v>
      </c>
      <c r="M229" s="16" t="n">
        <f aca="false">IF(F229=0,0,G229/F229)</f>
        <v>0.988643808691854</v>
      </c>
      <c r="N229" s="16" t="n">
        <f aca="false">K229*L229*M229</f>
        <v>0.7859375</v>
      </c>
      <c r="O229" s="19" t="n">
        <f aca="false">MONTH(A229)</f>
        <v>7</v>
      </c>
      <c r="P229" s="19" t="n">
        <f aca="false">INT((A229-DATE(2026,7,1))/7)+1</f>
        <v>4</v>
      </c>
    </row>
    <row r="230" customFormat="false" ht="15" hidden="false" customHeight="false" outlineLevel="0" collapsed="false">
      <c r="A230" s="25" t="n">
        <v>46229</v>
      </c>
      <c r="B230" s="26" t="s">
        <v>17</v>
      </c>
      <c r="C230" s="26" t="s">
        <v>72</v>
      </c>
      <c r="D230" s="26" t="n">
        <v>480</v>
      </c>
      <c r="E230" s="26" t="n">
        <v>10</v>
      </c>
      <c r="F230" s="26" t="n">
        <v>3689</v>
      </c>
      <c r="G230" s="26" t="n">
        <v>3595</v>
      </c>
      <c r="H230" s="19" t="n">
        <f aca="false">SUMIFS(Paradas!$E$2:$E$1973,Paradas!$A$2:$A$1973,A230,Paradas!$B$2:$B$1973,B230,Paradas!$C$2:$C$1973,C230)</f>
        <v>92</v>
      </c>
      <c r="I230" s="19" t="n">
        <f aca="false">D230-H230</f>
        <v>388</v>
      </c>
      <c r="J230" s="19" t="n">
        <f aca="false">I230*E230</f>
        <v>3880</v>
      </c>
      <c r="K230" s="16" t="n">
        <f aca="false">IF(D230=0,0,I230/D230)</f>
        <v>0.808333333333333</v>
      </c>
      <c r="L230" s="16" t="n">
        <f aca="false">IF(J230=0,0,F230/J230)</f>
        <v>0.950773195876289</v>
      </c>
      <c r="M230" s="16" t="n">
        <f aca="false">IF(F230=0,0,G230/F230)</f>
        <v>0.974518839793982</v>
      </c>
      <c r="N230" s="16" t="n">
        <f aca="false">K230*L230*M230</f>
        <v>0.748958333333333</v>
      </c>
      <c r="O230" s="19" t="n">
        <f aca="false">MONTH(A230)</f>
        <v>7</v>
      </c>
      <c r="P230" s="19" t="n">
        <f aca="false">INT((A230-DATE(2026,7,1))/7)+1</f>
        <v>4</v>
      </c>
    </row>
    <row r="231" customFormat="false" ht="15" hidden="false" customHeight="false" outlineLevel="0" collapsed="false">
      <c r="A231" s="25" t="n">
        <v>46229</v>
      </c>
      <c r="B231" s="26" t="s">
        <v>17</v>
      </c>
      <c r="C231" s="26" t="s">
        <v>73</v>
      </c>
      <c r="D231" s="26" t="n">
        <v>480</v>
      </c>
      <c r="E231" s="26" t="n">
        <v>10</v>
      </c>
      <c r="F231" s="26" t="n">
        <v>3846</v>
      </c>
      <c r="G231" s="26" t="n">
        <v>3663</v>
      </c>
      <c r="H231" s="19" t="n">
        <f aca="false">SUMIFS(Paradas!$E$2:$E$1973,Paradas!$A$2:$A$1973,A231,Paradas!$B$2:$B$1973,B231,Paradas!$C$2:$C$1973,C231)</f>
        <v>59</v>
      </c>
      <c r="I231" s="19" t="n">
        <f aca="false">D231-H231</f>
        <v>421</v>
      </c>
      <c r="J231" s="19" t="n">
        <f aca="false">I231*E231</f>
        <v>4210</v>
      </c>
      <c r="K231" s="16" t="n">
        <f aca="false">IF(D231=0,0,I231/D231)</f>
        <v>0.877083333333333</v>
      </c>
      <c r="L231" s="16" t="n">
        <f aca="false">IF(J231=0,0,F231/J231)</f>
        <v>0.91353919239905</v>
      </c>
      <c r="M231" s="16" t="n">
        <f aca="false">IF(F231=0,0,G231/F231)</f>
        <v>0.952418096723869</v>
      </c>
      <c r="N231" s="16" t="n">
        <f aca="false">K231*L231*M231</f>
        <v>0.763125</v>
      </c>
      <c r="O231" s="19" t="n">
        <f aca="false">MONTH(A231)</f>
        <v>7</v>
      </c>
      <c r="P231" s="19" t="n">
        <f aca="false">INT((A231-DATE(2026,7,1))/7)+1</f>
        <v>4</v>
      </c>
    </row>
    <row r="232" customFormat="false" ht="15" hidden="false" customHeight="false" outlineLevel="0" collapsed="false">
      <c r="A232" s="25" t="n">
        <v>46229</v>
      </c>
      <c r="B232" s="26" t="s">
        <v>17</v>
      </c>
      <c r="C232" s="26" t="s">
        <v>74</v>
      </c>
      <c r="D232" s="26" t="n">
        <v>480</v>
      </c>
      <c r="E232" s="26" t="n">
        <v>10</v>
      </c>
      <c r="F232" s="26" t="n">
        <v>2768</v>
      </c>
      <c r="G232" s="26" t="n">
        <v>2633</v>
      </c>
      <c r="H232" s="19" t="n">
        <f aca="false">SUMIFS(Paradas!$E$2:$E$1973,Paradas!$A$2:$A$1973,A232,Paradas!$B$2:$B$1973,B232,Paradas!$C$2:$C$1973,C232)</f>
        <v>130</v>
      </c>
      <c r="I232" s="19" t="n">
        <f aca="false">D232-H232</f>
        <v>350</v>
      </c>
      <c r="J232" s="19" t="n">
        <f aca="false">I232*E232</f>
        <v>3500</v>
      </c>
      <c r="K232" s="16" t="n">
        <f aca="false">IF(D232=0,0,I232/D232)</f>
        <v>0.729166666666667</v>
      </c>
      <c r="L232" s="16" t="n">
        <f aca="false">IF(J232=0,0,F232/J232)</f>
        <v>0.790857142857143</v>
      </c>
      <c r="M232" s="16" t="n">
        <f aca="false">IF(F232=0,0,G232/F232)</f>
        <v>0.951228323699422</v>
      </c>
      <c r="N232" s="16" t="n">
        <f aca="false">K232*L232*M232</f>
        <v>0.548541666666667</v>
      </c>
      <c r="O232" s="19" t="n">
        <f aca="false">MONTH(A232)</f>
        <v>7</v>
      </c>
      <c r="P232" s="19" t="n">
        <f aca="false">INT((A232-DATE(2026,7,1))/7)+1</f>
        <v>4</v>
      </c>
    </row>
    <row r="233" customFormat="false" ht="15" hidden="false" customHeight="false" outlineLevel="0" collapsed="false">
      <c r="A233" s="25" t="n">
        <v>46229</v>
      </c>
      <c r="B233" s="26" t="s">
        <v>18</v>
      </c>
      <c r="C233" s="26" t="s">
        <v>72</v>
      </c>
      <c r="D233" s="26" t="n">
        <v>480</v>
      </c>
      <c r="E233" s="26" t="n">
        <v>8</v>
      </c>
      <c r="F233" s="26" t="n">
        <v>2961</v>
      </c>
      <c r="G233" s="26" t="n">
        <v>2908</v>
      </c>
      <c r="H233" s="19" t="n">
        <f aca="false">SUMIFS(Paradas!$E$2:$E$1973,Paradas!$A$2:$A$1973,A233,Paradas!$B$2:$B$1973,B233,Paradas!$C$2:$C$1973,C233)</f>
        <v>89</v>
      </c>
      <c r="I233" s="19" t="n">
        <f aca="false">D233-H233</f>
        <v>391</v>
      </c>
      <c r="J233" s="19" t="n">
        <f aca="false">I233*E233</f>
        <v>3128</v>
      </c>
      <c r="K233" s="16" t="n">
        <f aca="false">IF(D233=0,0,I233/D233)</f>
        <v>0.814583333333333</v>
      </c>
      <c r="L233" s="16" t="n">
        <f aca="false">IF(J233=0,0,F233/J233)</f>
        <v>0.946611253196931</v>
      </c>
      <c r="M233" s="16" t="n">
        <f aca="false">IF(F233=0,0,G233/F233)</f>
        <v>0.98210064167511</v>
      </c>
      <c r="N233" s="16" t="n">
        <f aca="false">K233*L233*M233</f>
        <v>0.757291666666667</v>
      </c>
      <c r="O233" s="19" t="n">
        <f aca="false">MONTH(A233)</f>
        <v>7</v>
      </c>
      <c r="P233" s="19" t="n">
        <f aca="false">INT((A233-DATE(2026,7,1))/7)+1</f>
        <v>4</v>
      </c>
    </row>
    <row r="234" customFormat="false" ht="15" hidden="false" customHeight="false" outlineLevel="0" collapsed="false">
      <c r="A234" s="25" t="n">
        <v>46229</v>
      </c>
      <c r="B234" s="26" t="s">
        <v>18</v>
      </c>
      <c r="C234" s="26" t="s">
        <v>73</v>
      </c>
      <c r="D234" s="26" t="n">
        <v>480</v>
      </c>
      <c r="E234" s="26" t="n">
        <v>8</v>
      </c>
      <c r="F234" s="26" t="n">
        <v>1963</v>
      </c>
      <c r="G234" s="26" t="n">
        <v>1897</v>
      </c>
      <c r="H234" s="19" t="n">
        <f aca="false">SUMIFS(Paradas!$E$2:$E$1973,Paradas!$A$2:$A$1973,A234,Paradas!$B$2:$B$1973,B234,Paradas!$C$2:$C$1973,C234)</f>
        <v>206</v>
      </c>
      <c r="I234" s="19" t="n">
        <f aca="false">D234-H234</f>
        <v>274</v>
      </c>
      <c r="J234" s="19" t="n">
        <f aca="false">I234*E234</f>
        <v>2192</v>
      </c>
      <c r="K234" s="16" t="n">
        <f aca="false">IF(D234=0,0,I234/D234)</f>
        <v>0.570833333333333</v>
      </c>
      <c r="L234" s="16" t="n">
        <f aca="false">IF(J234=0,0,F234/J234)</f>
        <v>0.895529197080292</v>
      </c>
      <c r="M234" s="16" t="n">
        <f aca="false">IF(F234=0,0,G234/F234)</f>
        <v>0.966377992868059</v>
      </c>
      <c r="N234" s="16" t="n">
        <f aca="false">K234*L234*M234</f>
        <v>0.494010416666667</v>
      </c>
      <c r="O234" s="19" t="n">
        <f aca="false">MONTH(A234)</f>
        <v>7</v>
      </c>
      <c r="P234" s="19" t="n">
        <f aca="false">INT((A234-DATE(2026,7,1))/7)+1</f>
        <v>4</v>
      </c>
    </row>
    <row r="235" customFormat="false" ht="15" hidden="false" customHeight="false" outlineLevel="0" collapsed="false">
      <c r="A235" s="25" t="n">
        <v>46229</v>
      </c>
      <c r="B235" s="26" t="s">
        <v>18</v>
      </c>
      <c r="C235" s="26" t="s">
        <v>74</v>
      </c>
      <c r="D235" s="26" t="n">
        <v>480</v>
      </c>
      <c r="E235" s="26" t="n">
        <v>8</v>
      </c>
      <c r="F235" s="26" t="n">
        <v>3265</v>
      </c>
      <c r="G235" s="26" t="n">
        <v>3165</v>
      </c>
      <c r="H235" s="19" t="n">
        <f aca="false">SUMIFS(Paradas!$E$2:$E$1973,Paradas!$A$2:$A$1973,A235,Paradas!$B$2:$B$1973,B235,Paradas!$C$2:$C$1973,C235)</f>
        <v>18</v>
      </c>
      <c r="I235" s="19" t="n">
        <f aca="false">D235-H235</f>
        <v>462</v>
      </c>
      <c r="J235" s="19" t="n">
        <f aca="false">I235*E235</f>
        <v>3696</v>
      </c>
      <c r="K235" s="16" t="n">
        <f aca="false">IF(D235=0,0,I235/D235)</f>
        <v>0.9625</v>
      </c>
      <c r="L235" s="16" t="n">
        <f aca="false">IF(J235=0,0,F235/J235)</f>
        <v>0.883387445887446</v>
      </c>
      <c r="M235" s="16" t="n">
        <f aca="false">IF(F235=0,0,G235/F235)</f>
        <v>0.96937212863706</v>
      </c>
      <c r="N235" s="16" t="n">
        <f aca="false">K235*L235*M235</f>
        <v>0.82421875</v>
      </c>
      <c r="O235" s="19" t="n">
        <f aca="false">MONTH(A235)</f>
        <v>7</v>
      </c>
      <c r="P235" s="19" t="n">
        <f aca="false">INT((A235-DATE(2026,7,1))/7)+1</f>
        <v>4</v>
      </c>
    </row>
    <row r="236" customFormat="false" ht="15" hidden="false" customHeight="false" outlineLevel="0" collapsed="false">
      <c r="A236" s="25" t="n">
        <v>46230</v>
      </c>
      <c r="B236" s="26" t="s">
        <v>16</v>
      </c>
      <c r="C236" s="26" t="s">
        <v>72</v>
      </c>
      <c r="D236" s="26" t="n">
        <v>480</v>
      </c>
      <c r="E236" s="26" t="n">
        <v>12</v>
      </c>
      <c r="F236" s="26" t="n">
        <v>5150</v>
      </c>
      <c r="G236" s="26" t="n">
        <v>5061</v>
      </c>
      <c r="H236" s="19" t="n">
        <f aca="false">SUMIFS(Paradas!$E$2:$E$1973,Paradas!$A$2:$A$1973,A236,Paradas!$B$2:$B$1973,B236,Paradas!$C$2:$C$1973,C236)</f>
        <v>0</v>
      </c>
      <c r="I236" s="19" t="n">
        <f aca="false">D236-H236</f>
        <v>480</v>
      </c>
      <c r="J236" s="19" t="n">
        <f aca="false">I236*E236</f>
        <v>5760</v>
      </c>
      <c r="K236" s="16" t="n">
        <f aca="false">IF(D236=0,0,I236/D236)</f>
        <v>1</v>
      </c>
      <c r="L236" s="16" t="n">
        <f aca="false">IF(J236=0,0,F236/J236)</f>
        <v>0.894097222222222</v>
      </c>
      <c r="M236" s="16" t="n">
        <f aca="false">IF(F236=0,0,G236/F236)</f>
        <v>0.982718446601942</v>
      </c>
      <c r="N236" s="16" t="n">
        <f aca="false">K236*L236*M236</f>
        <v>0.878645833333333</v>
      </c>
      <c r="O236" s="19" t="n">
        <f aca="false">MONTH(A236)</f>
        <v>7</v>
      </c>
      <c r="P236" s="19" t="n">
        <f aca="false">INT((A236-DATE(2026,7,1))/7)+1</f>
        <v>4</v>
      </c>
    </row>
    <row r="237" customFormat="false" ht="15" hidden="false" customHeight="false" outlineLevel="0" collapsed="false">
      <c r="A237" s="25" t="n">
        <v>46230</v>
      </c>
      <c r="B237" s="26" t="s">
        <v>16</v>
      </c>
      <c r="C237" s="26" t="s">
        <v>73</v>
      </c>
      <c r="D237" s="26" t="n">
        <v>480</v>
      </c>
      <c r="E237" s="26" t="n">
        <v>12</v>
      </c>
      <c r="F237" s="26" t="n">
        <v>4379</v>
      </c>
      <c r="G237" s="26" t="n">
        <v>4275</v>
      </c>
      <c r="H237" s="19" t="n">
        <f aca="false">SUMIFS(Paradas!$E$2:$E$1973,Paradas!$A$2:$A$1973,A237,Paradas!$B$2:$B$1973,B237,Paradas!$C$2:$C$1973,C237)</f>
        <v>83</v>
      </c>
      <c r="I237" s="19" t="n">
        <f aca="false">D237-H237</f>
        <v>397</v>
      </c>
      <c r="J237" s="19" t="n">
        <f aca="false">I237*E237</f>
        <v>4764</v>
      </c>
      <c r="K237" s="16" t="n">
        <f aca="false">IF(D237=0,0,I237/D237)</f>
        <v>0.827083333333333</v>
      </c>
      <c r="L237" s="16" t="n">
        <f aca="false">IF(J237=0,0,F237/J237)</f>
        <v>0.919185558354324</v>
      </c>
      <c r="M237" s="16" t="n">
        <f aca="false">IF(F237=0,0,G237/F237)</f>
        <v>0.9762502854533</v>
      </c>
      <c r="N237" s="16" t="n">
        <f aca="false">K237*L237*M237</f>
        <v>0.7421875</v>
      </c>
      <c r="O237" s="19" t="n">
        <f aca="false">MONTH(A237)</f>
        <v>7</v>
      </c>
      <c r="P237" s="19" t="n">
        <f aca="false">INT((A237-DATE(2026,7,1))/7)+1</f>
        <v>4</v>
      </c>
    </row>
    <row r="238" customFormat="false" ht="15" hidden="false" customHeight="false" outlineLevel="0" collapsed="false">
      <c r="A238" s="25" t="n">
        <v>46230</v>
      </c>
      <c r="B238" s="26" t="s">
        <v>16</v>
      </c>
      <c r="C238" s="26" t="s">
        <v>74</v>
      </c>
      <c r="D238" s="26" t="n">
        <v>480</v>
      </c>
      <c r="E238" s="26" t="n">
        <v>12</v>
      </c>
      <c r="F238" s="26" t="n">
        <v>4427</v>
      </c>
      <c r="G238" s="26" t="n">
        <v>4265</v>
      </c>
      <c r="H238" s="19" t="n">
        <f aca="false">SUMIFS(Paradas!$E$2:$E$1973,Paradas!$A$2:$A$1973,A238,Paradas!$B$2:$B$1973,B238,Paradas!$C$2:$C$1973,C238)</f>
        <v>40</v>
      </c>
      <c r="I238" s="19" t="n">
        <f aca="false">D238-H238</f>
        <v>440</v>
      </c>
      <c r="J238" s="19" t="n">
        <f aca="false">I238*E238</f>
        <v>5280</v>
      </c>
      <c r="K238" s="16" t="n">
        <f aca="false">IF(D238=0,0,I238/D238)</f>
        <v>0.916666666666667</v>
      </c>
      <c r="L238" s="16" t="n">
        <f aca="false">IF(J238=0,0,F238/J238)</f>
        <v>0.83844696969697</v>
      </c>
      <c r="M238" s="16" t="n">
        <f aca="false">IF(F238=0,0,G238/F238)</f>
        <v>0.963406370002259</v>
      </c>
      <c r="N238" s="16" t="n">
        <f aca="false">K238*L238*M238</f>
        <v>0.740451388888889</v>
      </c>
      <c r="O238" s="19" t="n">
        <f aca="false">MONTH(A238)</f>
        <v>7</v>
      </c>
      <c r="P238" s="19" t="n">
        <f aca="false">INT((A238-DATE(2026,7,1))/7)+1</f>
        <v>4</v>
      </c>
    </row>
    <row r="239" customFormat="false" ht="15" hidden="false" customHeight="false" outlineLevel="0" collapsed="false">
      <c r="A239" s="25" t="n">
        <v>46230</v>
      </c>
      <c r="B239" s="26" t="s">
        <v>17</v>
      </c>
      <c r="C239" s="26" t="s">
        <v>72</v>
      </c>
      <c r="D239" s="26" t="n">
        <v>480</v>
      </c>
      <c r="E239" s="26" t="n">
        <v>10</v>
      </c>
      <c r="F239" s="26" t="n">
        <v>3425</v>
      </c>
      <c r="G239" s="26" t="n">
        <v>3320</v>
      </c>
      <c r="H239" s="19" t="n">
        <f aca="false">SUMIFS(Paradas!$E$2:$E$1973,Paradas!$A$2:$A$1973,A239,Paradas!$B$2:$B$1973,B239,Paradas!$C$2:$C$1973,C239)</f>
        <v>109</v>
      </c>
      <c r="I239" s="19" t="n">
        <f aca="false">D239-H239</f>
        <v>371</v>
      </c>
      <c r="J239" s="19" t="n">
        <f aca="false">I239*E239</f>
        <v>3710</v>
      </c>
      <c r="K239" s="16" t="n">
        <f aca="false">IF(D239=0,0,I239/D239)</f>
        <v>0.772916666666667</v>
      </c>
      <c r="L239" s="16" t="n">
        <f aca="false">IF(J239=0,0,F239/J239)</f>
        <v>0.923180592991914</v>
      </c>
      <c r="M239" s="16" t="n">
        <f aca="false">IF(F239=0,0,G239/F239)</f>
        <v>0.969343065693431</v>
      </c>
      <c r="N239" s="16" t="n">
        <f aca="false">K239*L239*M239</f>
        <v>0.691666666666667</v>
      </c>
      <c r="O239" s="19" t="n">
        <f aca="false">MONTH(A239)</f>
        <v>7</v>
      </c>
      <c r="P239" s="19" t="n">
        <f aca="false">INT((A239-DATE(2026,7,1))/7)+1</f>
        <v>4</v>
      </c>
    </row>
    <row r="240" customFormat="false" ht="15" hidden="false" customHeight="false" outlineLevel="0" collapsed="false">
      <c r="A240" s="25" t="n">
        <v>46230</v>
      </c>
      <c r="B240" s="26" t="s">
        <v>17</v>
      </c>
      <c r="C240" s="26" t="s">
        <v>73</v>
      </c>
      <c r="D240" s="26" t="n">
        <v>480</v>
      </c>
      <c r="E240" s="26" t="n">
        <v>10</v>
      </c>
      <c r="F240" s="26" t="n">
        <v>2954</v>
      </c>
      <c r="G240" s="26" t="n">
        <v>2818</v>
      </c>
      <c r="H240" s="19" t="n">
        <f aca="false">SUMIFS(Paradas!$E$2:$E$1973,Paradas!$A$2:$A$1973,A240,Paradas!$B$2:$B$1973,B240,Paradas!$C$2:$C$1973,C240)</f>
        <v>148</v>
      </c>
      <c r="I240" s="19" t="n">
        <f aca="false">D240-H240</f>
        <v>332</v>
      </c>
      <c r="J240" s="19" t="n">
        <f aca="false">I240*E240</f>
        <v>3320</v>
      </c>
      <c r="K240" s="16" t="n">
        <f aca="false">IF(D240=0,0,I240/D240)</f>
        <v>0.691666666666667</v>
      </c>
      <c r="L240" s="16" t="n">
        <f aca="false">IF(J240=0,0,F240/J240)</f>
        <v>0.889759036144578</v>
      </c>
      <c r="M240" s="16" t="n">
        <f aca="false">IF(F240=0,0,G240/F240)</f>
        <v>0.953960731211916</v>
      </c>
      <c r="N240" s="16" t="n">
        <f aca="false">K240*L240*M240</f>
        <v>0.587083333333333</v>
      </c>
      <c r="O240" s="19" t="n">
        <f aca="false">MONTH(A240)</f>
        <v>7</v>
      </c>
      <c r="P240" s="19" t="n">
        <f aca="false">INT((A240-DATE(2026,7,1))/7)+1</f>
        <v>4</v>
      </c>
    </row>
    <row r="241" customFormat="false" ht="15" hidden="false" customHeight="false" outlineLevel="0" collapsed="false">
      <c r="A241" s="25" t="n">
        <v>46230</v>
      </c>
      <c r="B241" s="26" t="s">
        <v>17</v>
      </c>
      <c r="C241" s="26" t="s">
        <v>74</v>
      </c>
      <c r="D241" s="26" t="n">
        <v>480</v>
      </c>
      <c r="E241" s="26" t="n">
        <v>10</v>
      </c>
      <c r="F241" s="26" t="n">
        <v>2845</v>
      </c>
      <c r="G241" s="26" t="n">
        <v>2728</v>
      </c>
      <c r="H241" s="19" t="n">
        <f aca="false">SUMIFS(Paradas!$E$2:$E$1973,Paradas!$A$2:$A$1973,A241,Paradas!$B$2:$B$1973,B241,Paradas!$C$2:$C$1973,C241)</f>
        <v>142</v>
      </c>
      <c r="I241" s="19" t="n">
        <f aca="false">D241-H241</f>
        <v>338</v>
      </c>
      <c r="J241" s="19" t="n">
        <f aca="false">I241*E241</f>
        <v>3380</v>
      </c>
      <c r="K241" s="16" t="n">
        <f aca="false">IF(D241=0,0,I241/D241)</f>
        <v>0.704166666666667</v>
      </c>
      <c r="L241" s="16" t="n">
        <f aca="false">IF(J241=0,0,F241/J241)</f>
        <v>0.841715976331361</v>
      </c>
      <c r="M241" s="16" t="n">
        <f aca="false">IF(F241=0,0,G241/F241)</f>
        <v>0.958875219683656</v>
      </c>
      <c r="N241" s="16" t="n">
        <f aca="false">K241*L241*M241</f>
        <v>0.568333333333333</v>
      </c>
      <c r="O241" s="19" t="n">
        <f aca="false">MONTH(A241)</f>
        <v>7</v>
      </c>
      <c r="P241" s="19" t="n">
        <f aca="false">INT((A241-DATE(2026,7,1))/7)+1</f>
        <v>4</v>
      </c>
    </row>
    <row r="242" customFormat="false" ht="15" hidden="false" customHeight="false" outlineLevel="0" collapsed="false">
      <c r="A242" s="25" t="n">
        <v>46230</v>
      </c>
      <c r="B242" s="26" t="s">
        <v>18</v>
      </c>
      <c r="C242" s="26" t="s">
        <v>72</v>
      </c>
      <c r="D242" s="26" t="n">
        <v>480</v>
      </c>
      <c r="E242" s="26" t="n">
        <v>8</v>
      </c>
      <c r="F242" s="26" t="n">
        <v>2024</v>
      </c>
      <c r="G242" s="26" t="n">
        <v>1915</v>
      </c>
      <c r="H242" s="19" t="n">
        <f aca="false">SUMIFS(Paradas!$E$2:$E$1973,Paradas!$A$2:$A$1973,A242,Paradas!$B$2:$B$1973,B242,Paradas!$C$2:$C$1973,C242)</f>
        <v>203</v>
      </c>
      <c r="I242" s="19" t="n">
        <f aca="false">D242-H242</f>
        <v>277</v>
      </c>
      <c r="J242" s="19" t="n">
        <f aca="false">I242*E242</f>
        <v>2216</v>
      </c>
      <c r="K242" s="16" t="n">
        <f aca="false">IF(D242=0,0,I242/D242)</f>
        <v>0.577083333333333</v>
      </c>
      <c r="L242" s="16" t="n">
        <f aca="false">IF(J242=0,0,F242/J242)</f>
        <v>0.913357400722022</v>
      </c>
      <c r="M242" s="16" t="n">
        <f aca="false">IF(F242=0,0,G242/F242)</f>
        <v>0.946146245059289</v>
      </c>
      <c r="N242" s="16" t="n">
        <f aca="false">K242*L242*M242</f>
        <v>0.498697916666667</v>
      </c>
      <c r="O242" s="19" t="n">
        <f aca="false">MONTH(A242)</f>
        <v>7</v>
      </c>
      <c r="P242" s="19" t="n">
        <f aca="false">INT((A242-DATE(2026,7,1))/7)+1</f>
        <v>4</v>
      </c>
    </row>
    <row r="243" customFormat="false" ht="15" hidden="false" customHeight="false" outlineLevel="0" collapsed="false">
      <c r="A243" s="25" t="n">
        <v>46230</v>
      </c>
      <c r="B243" s="26" t="s">
        <v>18</v>
      </c>
      <c r="C243" s="26" t="s">
        <v>73</v>
      </c>
      <c r="D243" s="26" t="n">
        <v>480</v>
      </c>
      <c r="E243" s="26" t="n">
        <v>8</v>
      </c>
      <c r="F243" s="26" t="n">
        <v>3127</v>
      </c>
      <c r="G243" s="26" t="n">
        <v>3038</v>
      </c>
      <c r="H243" s="19" t="n">
        <f aca="false">SUMIFS(Paradas!$E$2:$E$1973,Paradas!$A$2:$A$1973,A243,Paradas!$B$2:$B$1973,B243,Paradas!$C$2:$C$1973,C243)</f>
        <v>36</v>
      </c>
      <c r="I243" s="19" t="n">
        <f aca="false">D243-H243</f>
        <v>444</v>
      </c>
      <c r="J243" s="19" t="n">
        <f aca="false">I243*E243</f>
        <v>3552</v>
      </c>
      <c r="K243" s="16" t="n">
        <f aca="false">IF(D243=0,0,I243/D243)</f>
        <v>0.925</v>
      </c>
      <c r="L243" s="16" t="n">
        <f aca="false">IF(J243=0,0,F243/J243)</f>
        <v>0.880349099099099</v>
      </c>
      <c r="M243" s="16" t="n">
        <f aca="false">IF(F243=0,0,G243/F243)</f>
        <v>0.971538215542053</v>
      </c>
      <c r="N243" s="16" t="n">
        <f aca="false">K243*L243*M243</f>
        <v>0.791145833333333</v>
      </c>
      <c r="O243" s="19" t="n">
        <f aca="false">MONTH(A243)</f>
        <v>7</v>
      </c>
      <c r="P243" s="19" t="n">
        <f aca="false">INT((A243-DATE(2026,7,1))/7)+1</f>
        <v>4</v>
      </c>
    </row>
    <row r="244" customFormat="false" ht="15" hidden="false" customHeight="false" outlineLevel="0" collapsed="false">
      <c r="A244" s="25" t="n">
        <v>46230</v>
      </c>
      <c r="B244" s="26" t="s">
        <v>18</v>
      </c>
      <c r="C244" s="26" t="s">
        <v>74</v>
      </c>
      <c r="D244" s="26" t="n">
        <v>480</v>
      </c>
      <c r="E244" s="26" t="n">
        <v>8</v>
      </c>
      <c r="F244" s="26" t="n">
        <v>1800</v>
      </c>
      <c r="G244" s="26" t="n">
        <v>1750</v>
      </c>
      <c r="H244" s="19" t="n">
        <f aca="false">SUMIFS(Paradas!$E$2:$E$1973,Paradas!$A$2:$A$1973,A244,Paradas!$B$2:$B$1973,B244,Paradas!$C$2:$C$1973,C244)</f>
        <v>216</v>
      </c>
      <c r="I244" s="19" t="n">
        <f aca="false">D244-H244</f>
        <v>264</v>
      </c>
      <c r="J244" s="19" t="n">
        <f aca="false">I244*E244</f>
        <v>2112</v>
      </c>
      <c r="K244" s="16" t="n">
        <f aca="false">IF(D244=0,0,I244/D244)</f>
        <v>0.55</v>
      </c>
      <c r="L244" s="16" t="n">
        <f aca="false">IF(J244=0,0,F244/J244)</f>
        <v>0.852272727272727</v>
      </c>
      <c r="M244" s="16" t="n">
        <f aca="false">IF(F244=0,0,G244/F244)</f>
        <v>0.972222222222222</v>
      </c>
      <c r="N244" s="16" t="n">
        <f aca="false">K244*L244*M244</f>
        <v>0.455729166666667</v>
      </c>
      <c r="O244" s="19" t="n">
        <f aca="false">MONTH(A244)</f>
        <v>7</v>
      </c>
      <c r="P244" s="19" t="n">
        <f aca="false">INT((A244-DATE(2026,7,1))/7)+1</f>
        <v>4</v>
      </c>
    </row>
    <row r="245" customFormat="false" ht="15" hidden="false" customHeight="false" outlineLevel="0" collapsed="false">
      <c r="A245" s="25" t="n">
        <v>46231</v>
      </c>
      <c r="B245" s="26" t="s">
        <v>16</v>
      </c>
      <c r="C245" s="26" t="s">
        <v>72</v>
      </c>
      <c r="D245" s="26" t="n">
        <v>480</v>
      </c>
      <c r="E245" s="26" t="n">
        <v>12</v>
      </c>
      <c r="F245" s="26" t="n">
        <v>4085</v>
      </c>
      <c r="G245" s="26" t="n">
        <v>3966</v>
      </c>
      <c r="H245" s="19" t="n">
        <f aca="false">SUMIFS(Paradas!$E$2:$E$1973,Paradas!$A$2:$A$1973,A245,Paradas!$B$2:$B$1973,B245,Paradas!$C$2:$C$1973,C245)</f>
        <v>115</v>
      </c>
      <c r="I245" s="19" t="n">
        <f aca="false">D245-H245</f>
        <v>365</v>
      </c>
      <c r="J245" s="19" t="n">
        <f aca="false">I245*E245</f>
        <v>4380</v>
      </c>
      <c r="K245" s="16" t="n">
        <f aca="false">IF(D245=0,0,I245/D245)</f>
        <v>0.760416666666667</v>
      </c>
      <c r="L245" s="16" t="n">
        <f aca="false">IF(J245=0,0,F245/J245)</f>
        <v>0.932648401826484</v>
      </c>
      <c r="M245" s="16" t="n">
        <f aca="false">IF(F245=0,0,G245/F245)</f>
        <v>0.970869033047736</v>
      </c>
      <c r="N245" s="16" t="n">
        <f aca="false">K245*L245*M245</f>
        <v>0.688541666666667</v>
      </c>
      <c r="O245" s="19" t="n">
        <f aca="false">MONTH(A245)</f>
        <v>7</v>
      </c>
      <c r="P245" s="19" t="n">
        <f aca="false">INT((A245-DATE(2026,7,1))/7)+1</f>
        <v>4</v>
      </c>
    </row>
    <row r="246" customFormat="false" ht="15" hidden="false" customHeight="false" outlineLevel="0" collapsed="false">
      <c r="A246" s="25" t="n">
        <v>46231</v>
      </c>
      <c r="B246" s="26" t="s">
        <v>16</v>
      </c>
      <c r="C246" s="26" t="s">
        <v>73</v>
      </c>
      <c r="D246" s="26" t="n">
        <v>480</v>
      </c>
      <c r="E246" s="26" t="n">
        <v>12</v>
      </c>
      <c r="F246" s="26" t="n">
        <v>4653</v>
      </c>
      <c r="G246" s="26" t="n">
        <v>4568</v>
      </c>
      <c r="H246" s="19" t="n">
        <f aca="false">SUMIFS(Paradas!$E$2:$E$1973,Paradas!$A$2:$A$1973,A246,Paradas!$B$2:$B$1973,B246,Paradas!$C$2:$C$1973,C246)</f>
        <v>48</v>
      </c>
      <c r="I246" s="19" t="n">
        <f aca="false">D246-H246</f>
        <v>432</v>
      </c>
      <c r="J246" s="19" t="n">
        <f aca="false">I246*E246</f>
        <v>5184</v>
      </c>
      <c r="K246" s="16" t="n">
        <f aca="false">IF(D246=0,0,I246/D246)</f>
        <v>0.9</v>
      </c>
      <c r="L246" s="16" t="n">
        <f aca="false">IF(J246=0,0,F246/J246)</f>
        <v>0.897569444444444</v>
      </c>
      <c r="M246" s="16" t="n">
        <f aca="false">IF(F246=0,0,G246/F246)</f>
        <v>0.981732215774769</v>
      </c>
      <c r="N246" s="16" t="n">
        <f aca="false">K246*L246*M246</f>
        <v>0.793055555555556</v>
      </c>
      <c r="O246" s="19" t="n">
        <f aca="false">MONTH(A246)</f>
        <v>7</v>
      </c>
      <c r="P246" s="19" t="n">
        <f aca="false">INT((A246-DATE(2026,7,1))/7)+1</f>
        <v>4</v>
      </c>
    </row>
    <row r="247" customFormat="false" ht="15" hidden="false" customHeight="false" outlineLevel="0" collapsed="false">
      <c r="A247" s="25" t="n">
        <v>46231</v>
      </c>
      <c r="B247" s="26" t="s">
        <v>16</v>
      </c>
      <c r="C247" s="26" t="s">
        <v>74</v>
      </c>
      <c r="D247" s="26" t="n">
        <v>480</v>
      </c>
      <c r="E247" s="26" t="n">
        <v>12</v>
      </c>
      <c r="F247" s="26" t="n">
        <v>4738</v>
      </c>
      <c r="G247" s="26" t="n">
        <v>4607</v>
      </c>
      <c r="H247" s="19" t="n">
        <f aca="false">SUMIFS(Paradas!$E$2:$E$1973,Paradas!$A$2:$A$1973,A247,Paradas!$B$2:$B$1973,B247,Paradas!$C$2:$C$1973,C247)</f>
        <v>0</v>
      </c>
      <c r="I247" s="19" t="n">
        <f aca="false">D247-H247</f>
        <v>480</v>
      </c>
      <c r="J247" s="19" t="n">
        <f aca="false">I247*E247</f>
        <v>5760</v>
      </c>
      <c r="K247" s="16" t="n">
        <f aca="false">IF(D247=0,0,I247/D247)</f>
        <v>1</v>
      </c>
      <c r="L247" s="16" t="n">
        <f aca="false">IF(J247=0,0,F247/J247)</f>
        <v>0.822569444444445</v>
      </c>
      <c r="M247" s="16" t="n">
        <f aca="false">IF(F247=0,0,G247/F247)</f>
        <v>0.972351203039257</v>
      </c>
      <c r="N247" s="16" t="n">
        <f aca="false">K247*L247*M247</f>
        <v>0.799826388888889</v>
      </c>
      <c r="O247" s="19" t="n">
        <f aca="false">MONTH(A247)</f>
        <v>7</v>
      </c>
      <c r="P247" s="19" t="n">
        <f aca="false">INT((A247-DATE(2026,7,1))/7)+1</f>
        <v>4</v>
      </c>
    </row>
    <row r="248" customFormat="false" ht="15" hidden="false" customHeight="false" outlineLevel="0" collapsed="false">
      <c r="A248" s="25" t="n">
        <v>46231</v>
      </c>
      <c r="B248" s="26" t="s">
        <v>17</v>
      </c>
      <c r="C248" s="26" t="s">
        <v>72</v>
      </c>
      <c r="D248" s="26" t="n">
        <v>480</v>
      </c>
      <c r="E248" s="26" t="n">
        <v>10</v>
      </c>
      <c r="F248" s="26" t="n">
        <v>3393</v>
      </c>
      <c r="G248" s="26" t="n">
        <v>3278</v>
      </c>
      <c r="H248" s="19" t="n">
        <f aca="false">SUMIFS(Paradas!$E$2:$E$1973,Paradas!$A$2:$A$1973,A248,Paradas!$B$2:$B$1973,B248,Paradas!$C$2:$C$1973,C248)</f>
        <v>96</v>
      </c>
      <c r="I248" s="19" t="n">
        <f aca="false">D248-H248</f>
        <v>384</v>
      </c>
      <c r="J248" s="19" t="n">
        <f aca="false">I248*E248</f>
        <v>3840</v>
      </c>
      <c r="K248" s="16" t="n">
        <f aca="false">IF(D248=0,0,I248/D248)</f>
        <v>0.8</v>
      </c>
      <c r="L248" s="16" t="n">
        <f aca="false">IF(J248=0,0,F248/J248)</f>
        <v>0.88359375</v>
      </c>
      <c r="M248" s="16" t="n">
        <f aca="false">IF(F248=0,0,G248/F248)</f>
        <v>0.966106690244621</v>
      </c>
      <c r="N248" s="16" t="n">
        <f aca="false">K248*L248*M248</f>
        <v>0.682916666666667</v>
      </c>
      <c r="O248" s="19" t="n">
        <f aca="false">MONTH(A248)</f>
        <v>7</v>
      </c>
      <c r="P248" s="19" t="n">
        <f aca="false">INT((A248-DATE(2026,7,1))/7)+1</f>
        <v>4</v>
      </c>
    </row>
    <row r="249" customFormat="false" ht="15" hidden="false" customHeight="false" outlineLevel="0" collapsed="false">
      <c r="A249" s="25" t="n">
        <v>46231</v>
      </c>
      <c r="B249" s="26" t="s">
        <v>17</v>
      </c>
      <c r="C249" s="26" t="s">
        <v>73</v>
      </c>
      <c r="D249" s="26" t="n">
        <v>480</v>
      </c>
      <c r="E249" s="26" t="n">
        <v>10</v>
      </c>
      <c r="F249" s="26" t="n">
        <v>3537</v>
      </c>
      <c r="G249" s="26" t="n">
        <v>3382</v>
      </c>
      <c r="H249" s="19" t="n">
        <f aca="false">SUMIFS(Paradas!$E$2:$E$1973,Paradas!$A$2:$A$1973,A249,Paradas!$B$2:$B$1973,B249,Paradas!$C$2:$C$1973,C249)</f>
        <v>100</v>
      </c>
      <c r="I249" s="19" t="n">
        <f aca="false">D249-H249</f>
        <v>380</v>
      </c>
      <c r="J249" s="19" t="n">
        <f aca="false">I249*E249</f>
        <v>3800</v>
      </c>
      <c r="K249" s="16" t="n">
        <f aca="false">IF(D249=0,0,I249/D249)</f>
        <v>0.791666666666667</v>
      </c>
      <c r="L249" s="16" t="n">
        <f aca="false">IF(J249=0,0,F249/J249)</f>
        <v>0.930789473684211</v>
      </c>
      <c r="M249" s="16" t="n">
        <f aca="false">IF(F249=0,0,G249/F249)</f>
        <v>0.956177551597399</v>
      </c>
      <c r="N249" s="16" t="n">
        <f aca="false">K249*L249*M249</f>
        <v>0.704583333333333</v>
      </c>
      <c r="O249" s="19" t="n">
        <f aca="false">MONTH(A249)</f>
        <v>7</v>
      </c>
      <c r="P249" s="19" t="n">
        <f aca="false">INT((A249-DATE(2026,7,1))/7)+1</f>
        <v>4</v>
      </c>
    </row>
    <row r="250" customFormat="false" ht="15" hidden="false" customHeight="false" outlineLevel="0" collapsed="false">
      <c r="A250" s="25" t="n">
        <v>46231</v>
      </c>
      <c r="B250" s="26" t="s">
        <v>17</v>
      </c>
      <c r="C250" s="26" t="s">
        <v>74</v>
      </c>
      <c r="D250" s="26" t="n">
        <v>480</v>
      </c>
      <c r="E250" s="26" t="n">
        <v>10</v>
      </c>
      <c r="F250" s="26" t="n">
        <v>2381</v>
      </c>
      <c r="G250" s="26" t="n">
        <v>2223</v>
      </c>
      <c r="H250" s="19" t="n">
        <f aca="false">SUMIFS(Paradas!$E$2:$E$1973,Paradas!$A$2:$A$1973,A250,Paradas!$B$2:$B$1973,B250,Paradas!$C$2:$C$1973,C250)</f>
        <v>195</v>
      </c>
      <c r="I250" s="19" t="n">
        <f aca="false">D250-H250</f>
        <v>285</v>
      </c>
      <c r="J250" s="19" t="n">
        <f aca="false">I250*E250</f>
        <v>2850</v>
      </c>
      <c r="K250" s="16" t="n">
        <f aca="false">IF(D250=0,0,I250/D250)</f>
        <v>0.59375</v>
      </c>
      <c r="L250" s="16" t="n">
        <f aca="false">IF(J250=0,0,F250/J250)</f>
        <v>0.835438596491228</v>
      </c>
      <c r="M250" s="16" t="n">
        <f aca="false">IF(F250=0,0,G250/F250)</f>
        <v>0.933641327173457</v>
      </c>
      <c r="N250" s="16" t="n">
        <f aca="false">K250*L250*M250</f>
        <v>0.463125</v>
      </c>
      <c r="O250" s="19" t="n">
        <f aca="false">MONTH(A250)</f>
        <v>7</v>
      </c>
      <c r="P250" s="19" t="n">
        <f aca="false">INT((A250-DATE(2026,7,1))/7)+1</f>
        <v>4</v>
      </c>
    </row>
    <row r="251" customFormat="false" ht="15" hidden="false" customHeight="false" outlineLevel="0" collapsed="false">
      <c r="A251" s="25" t="n">
        <v>46231</v>
      </c>
      <c r="B251" s="26" t="s">
        <v>18</v>
      </c>
      <c r="C251" s="26" t="s">
        <v>72</v>
      </c>
      <c r="D251" s="26" t="n">
        <v>480</v>
      </c>
      <c r="E251" s="26" t="n">
        <v>8</v>
      </c>
      <c r="F251" s="26" t="n">
        <v>1936</v>
      </c>
      <c r="G251" s="26" t="n">
        <v>1921</v>
      </c>
      <c r="H251" s="19" t="n">
        <f aca="false">SUMIFS(Paradas!$E$2:$E$1973,Paradas!$A$2:$A$1973,A251,Paradas!$B$2:$B$1973,B251,Paradas!$C$2:$C$1973,C251)</f>
        <v>191</v>
      </c>
      <c r="I251" s="19" t="n">
        <f aca="false">D251-H251</f>
        <v>289</v>
      </c>
      <c r="J251" s="19" t="n">
        <f aca="false">I251*E251</f>
        <v>2312</v>
      </c>
      <c r="K251" s="16" t="n">
        <f aca="false">IF(D251=0,0,I251/D251)</f>
        <v>0.602083333333333</v>
      </c>
      <c r="L251" s="16" t="n">
        <f aca="false">IF(J251=0,0,F251/J251)</f>
        <v>0.837370242214533</v>
      </c>
      <c r="M251" s="16" t="n">
        <f aca="false">IF(F251=0,0,G251/F251)</f>
        <v>0.992252066115703</v>
      </c>
      <c r="N251" s="16" t="n">
        <f aca="false">K251*L251*M251</f>
        <v>0.500260416666667</v>
      </c>
      <c r="O251" s="19" t="n">
        <f aca="false">MONTH(A251)</f>
        <v>7</v>
      </c>
      <c r="P251" s="19" t="n">
        <f aca="false">INT((A251-DATE(2026,7,1))/7)+1</f>
        <v>4</v>
      </c>
    </row>
    <row r="252" customFormat="false" ht="15" hidden="false" customHeight="false" outlineLevel="0" collapsed="false">
      <c r="A252" s="25" t="n">
        <v>46231</v>
      </c>
      <c r="B252" s="26" t="s">
        <v>18</v>
      </c>
      <c r="C252" s="26" t="s">
        <v>73</v>
      </c>
      <c r="D252" s="26" t="n">
        <v>480</v>
      </c>
      <c r="E252" s="26" t="n">
        <v>8</v>
      </c>
      <c r="F252" s="26" t="n">
        <v>2608</v>
      </c>
      <c r="G252" s="26" t="n">
        <v>2510</v>
      </c>
      <c r="H252" s="19" t="n">
        <f aca="false">SUMIFS(Paradas!$E$2:$E$1973,Paradas!$A$2:$A$1973,A252,Paradas!$B$2:$B$1973,B252,Paradas!$C$2:$C$1973,C252)</f>
        <v>121</v>
      </c>
      <c r="I252" s="19" t="n">
        <f aca="false">D252-H252</f>
        <v>359</v>
      </c>
      <c r="J252" s="19" t="n">
        <f aca="false">I252*E252</f>
        <v>2872</v>
      </c>
      <c r="K252" s="16" t="n">
        <f aca="false">IF(D252=0,0,I252/D252)</f>
        <v>0.747916666666667</v>
      </c>
      <c r="L252" s="16" t="n">
        <f aca="false">IF(J252=0,0,F252/J252)</f>
        <v>0.908077994428969</v>
      </c>
      <c r="M252" s="16" t="n">
        <f aca="false">IF(F252=0,0,G252/F252)</f>
        <v>0.962423312883436</v>
      </c>
      <c r="N252" s="16" t="n">
        <f aca="false">K252*L252*M252</f>
        <v>0.653645833333333</v>
      </c>
      <c r="O252" s="19" t="n">
        <f aca="false">MONTH(A252)</f>
        <v>7</v>
      </c>
      <c r="P252" s="19" t="n">
        <f aca="false">INT((A252-DATE(2026,7,1))/7)+1</f>
        <v>4</v>
      </c>
    </row>
    <row r="253" customFormat="false" ht="15" hidden="false" customHeight="false" outlineLevel="0" collapsed="false">
      <c r="A253" s="25" t="n">
        <v>46231</v>
      </c>
      <c r="B253" s="26" t="s">
        <v>18</v>
      </c>
      <c r="C253" s="26" t="s">
        <v>74</v>
      </c>
      <c r="D253" s="26" t="n">
        <v>480</v>
      </c>
      <c r="E253" s="26" t="n">
        <v>8</v>
      </c>
      <c r="F253" s="26" t="n">
        <v>1923</v>
      </c>
      <c r="G253" s="26" t="n">
        <v>1898</v>
      </c>
      <c r="H253" s="19" t="n">
        <f aca="false">SUMIFS(Paradas!$E$2:$E$1973,Paradas!$A$2:$A$1973,A253,Paradas!$B$2:$B$1973,B253,Paradas!$C$2:$C$1973,C253)</f>
        <v>214</v>
      </c>
      <c r="I253" s="19" t="n">
        <f aca="false">D253-H253</f>
        <v>266</v>
      </c>
      <c r="J253" s="19" t="n">
        <f aca="false">I253*E253</f>
        <v>2128</v>
      </c>
      <c r="K253" s="16" t="n">
        <f aca="false">IF(D253=0,0,I253/D253)</f>
        <v>0.554166666666667</v>
      </c>
      <c r="L253" s="16" t="n">
        <f aca="false">IF(J253=0,0,F253/J253)</f>
        <v>0.903665413533835</v>
      </c>
      <c r="M253" s="16" t="n">
        <f aca="false">IF(F253=0,0,G253/F253)</f>
        <v>0.986999479979199</v>
      </c>
      <c r="N253" s="16" t="n">
        <f aca="false">K253*L253*M253</f>
        <v>0.494270833333333</v>
      </c>
      <c r="O253" s="19" t="n">
        <f aca="false">MONTH(A253)</f>
        <v>7</v>
      </c>
      <c r="P253" s="19" t="n">
        <f aca="false">INT((A253-DATE(2026,7,1))/7)+1</f>
        <v>4</v>
      </c>
    </row>
    <row r="254" customFormat="false" ht="15" hidden="false" customHeight="false" outlineLevel="0" collapsed="false">
      <c r="A254" s="25" t="n">
        <v>46232</v>
      </c>
      <c r="B254" s="26" t="s">
        <v>16</v>
      </c>
      <c r="C254" s="26" t="s">
        <v>72</v>
      </c>
      <c r="D254" s="26" t="n">
        <v>480</v>
      </c>
      <c r="E254" s="26" t="n">
        <v>12</v>
      </c>
      <c r="F254" s="26" t="n">
        <v>3390</v>
      </c>
      <c r="G254" s="26" t="n">
        <v>3305</v>
      </c>
      <c r="H254" s="19" t="n">
        <f aca="false">SUMIFS(Paradas!$E$2:$E$1973,Paradas!$A$2:$A$1973,A254,Paradas!$B$2:$B$1973,B254,Paradas!$C$2:$C$1973,C254)</f>
        <v>161</v>
      </c>
      <c r="I254" s="19" t="n">
        <f aca="false">D254-H254</f>
        <v>319</v>
      </c>
      <c r="J254" s="19" t="n">
        <f aca="false">I254*E254</f>
        <v>3828</v>
      </c>
      <c r="K254" s="16" t="n">
        <f aca="false">IF(D254=0,0,I254/D254)</f>
        <v>0.664583333333333</v>
      </c>
      <c r="L254" s="16" t="n">
        <f aca="false">IF(J254=0,0,F254/J254)</f>
        <v>0.885579937304075</v>
      </c>
      <c r="M254" s="16" t="n">
        <f aca="false">IF(F254=0,0,G254/F254)</f>
        <v>0.974926253687316</v>
      </c>
      <c r="N254" s="16" t="n">
        <f aca="false">K254*L254*M254</f>
        <v>0.573784722222222</v>
      </c>
      <c r="O254" s="19" t="n">
        <f aca="false">MONTH(A254)</f>
        <v>7</v>
      </c>
      <c r="P254" s="19" t="n">
        <f aca="false">INT((A254-DATE(2026,7,1))/7)+1</f>
        <v>5</v>
      </c>
    </row>
    <row r="255" customFormat="false" ht="15" hidden="false" customHeight="false" outlineLevel="0" collapsed="false">
      <c r="A255" s="25" t="n">
        <v>46232</v>
      </c>
      <c r="B255" s="26" t="s">
        <v>16</v>
      </c>
      <c r="C255" s="26" t="s">
        <v>73</v>
      </c>
      <c r="D255" s="26" t="n">
        <v>480</v>
      </c>
      <c r="E255" s="26" t="n">
        <v>12</v>
      </c>
      <c r="F255" s="26" t="n">
        <v>4769</v>
      </c>
      <c r="G255" s="26" t="n">
        <v>4629</v>
      </c>
      <c r="H255" s="19" t="n">
        <f aca="false">SUMIFS(Paradas!$E$2:$E$1973,Paradas!$A$2:$A$1973,A255,Paradas!$B$2:$B$1973,B255,Paradas!$C$2:$C$1973,C255)</f>
        <v>54</v>
      </c>
      <c r="I255" s="19" t="n">
        <f aca="false">D255-H255</f>
        <v>426</v>
      </c>
      <c r="J255" s="19" t="n">
        <f aca="false">I255*E255</f>
        <v>5112</v>
      </c>
      <c r="K255" s="16" t="n">
        <f aca="false">IF(D255=0,0,I255/D255)</f>
        <v>0.8875</v>
      </c>
      <c r="L255" s="16" t="n">
        <f aca="false">IF(J255=0,0,F255/J255)</f>
        <v>0.932902973395931</v>
      </c>
      <c r="M255" s="16" t="n">
        <f aca="false">IF(F255=0,0,G255/F255)</f>
        <v>0.970643740826169</v>
      </c>
      <c r="N255" s="16" t="n">
        <f aca="false">K255*L255*M255</f>
        <v>0.803645833333333</v>
      </c>
      <c r="O255" s="19" t="n">
        <f aca="false">MONTH(A255)</f>
        <v>7</v>
      </c>
      <c r="P255" s="19" t="n">
        <f aca="false">INT((A255-DATE(2026,7,1))/7)+1</f>
        <v>5</v>
      </c>
    </row>
    <row r="256" customFormat="false" ht="15" hidden="false" customHeight="false" outlineLevel="0" collapsed="false">
      <c r="A256" s="25" t="n">
        <v>46232</v>
      </c>
      <c r="B256" s="26" t="s">
        <v>16</v>
      </c>
      <c r="C256" s="26" t="s">
        <v>74</v>
      </c>
      <c r="D256" s="26" t="n">
        <v>480</v>
      </c>
      <c r="E256" s="26" t="n">
        <v>12</v>
      </c>
      <c r="F256" s="26" t="n">
        <v>4288</v>
      </c>
      <c r="G256" s="26" t="n">
        <v>4176</v>
      </c>
      <c r="H256" s="19" t="n">
        <f aca="false">SUMIFS(Paradas!$E$2:$E$1973,Paradas!$A$2:$A$1973,A256,Paradas!$B$2:$B$1973,B256,Paradas!$C$2:$C$1973,C256)</f>
        <v>67</v>
      </c>
      <c r="I256" s="19" t="n">
        <f aca="false">D256-H256</f>
        <v>413</v>
      </c>
      <c r="J256" s="19" t="n">
        <f aca="false">I256*E256</f>
        <v>4956</v>
      </c>
      <c r="K256" s="16" t="n">
        <f aca="false">IF(D256=0,0,I256/D256)</f>
        <v>0.860416666666667</v>
      </c>
      <c r="L256" s="16" t="n">
        <f aca="false">IF(J256=0,0,F256/J256)</f>
        <v>0.865213882163035</v>
      </c>
      <c r="M256" s="16" t="n">
        <f aca="false">IF(F256=0,0,G256/F256)</f>
        <v>0.973880597014925</v>
      </c>
      <c r="N256" s="16" t="n">
        <f aca="false">K256*L256*M256</f>
        <v>0.725</v>
      </c>
      <c r="O256" s="19" t="n">
        <f aca="false">MONTH(A256)</f>
        <v>7</v>
      </c>
      <c r="P256" s="19" t="n">
        <f aca="false">INT((A256-DATE(2026,7,1))/7)+1</f>
        <v>5</v>
      </c>
    </row>
    <row r="257" customFormat="false" ht="15" hidden="false" customHeight="false" outlineLevel="0" collapsed="false">
      <c r="A257" s="25" t="n">
        <v>46232</v>
      </c>
      <c r="B257" s="26" t="s">
        <v>17</v>
      </c>
      <c r="C257" s="26" t="s">
        <v>72</v>
      </c>
      <c r="D257" s="26" t="n">
        <v>480</v>
      </c>
      <c r="E257" s="26" t="n">
        <v>10</v>
      </c>
      <c r="F257" s="26" t="n">
        <v>3591</v>
      </c>
      <c r="G257" s="26" t="n">
        <v>3406</v>
      </c>
      <c r="H257" s="19" t="n">
        <f aca="false">SUMIFS(Paradas!$E$2:$E$1973,Paradas!$A$2:$A$1973,A257,Paradas!$B$2:$B$1973,B257,Paradas!$C$2:$C$1973,C257)</f>
        <v>93</v>
      </c>
      <c r="I257" s="19" t="n">
        <f aca="false">D257-H257</f>
        <v>387</v>
      </c>
      <c r="J257" s="19" t="n">
        <f aca="false">I257*E257</f>
        <v>3870</v>
      </c>
      <c r="K257" s="16" t="n">
        <f aca="false">IF(D257=0,0,I257/D257)</f>
        <v>0.80625</v>
      </c>
      <c r="L257" s="16" t="n">
        <f aca="false">IF(J257=0,0,F257/J257)</f>
        <v>0.927906976744186</v>
      </c>
      <c r="M257" s="16" t="n">
        <f aca="false">IF(F257=0,0,G257/F257)</f>
        <v>0.94848231690337</v>
      </c>
      <c r="N257" s="16" t="n">
        <f aca="false">K257*L257*M257</f>
        <v>0.709583333333333</v>
      </c>
      <c r="O257" s="19" t="n">
        <f aca="false">MONTH(A257)</f>
        <v>7</v>
      </c>
      <c r="P257" s="19" t="n">
        <f aca="false">INT((A257-DATE(2026,7,1))/7)+1</f>
        <v>5</v>
      </c>
    </row>
    <row r="258" customFormat="false" ht="15" hidden="false" customHeight="false" outlineLevel="0" collapsed="false">
      <c r="A258" s="25" t="n">
        <v>46232</v>
      </c>
      <c r="B258" s="26" t="s">
        <v>17</v>
      </c>
      <c r="C258" s="26" t="s">
        <v>73</v>
      </c>
      <c r="D258" s="26" t="n">
        <v>480</v>
      </c>
      <c r="E258" s="26" t="n">
        <v>10</v>
      </c>
      <c r="F258" s="26" t="n">
        <v>3292</v>
      </c>
      <c r="G258" s="26" t="n">
        <v>3107</v>
      </c>
      <c r="H258" s="19" t="n">
        <f aca="false">SUMIFS(Paradas!$E$2:$E$1973,Paradas!$A$2:$A$1973,A258,Paradas!$B$2:$B$1973,B258,Paradas!$C$2:$C$1973,C258)</f>
        <v>112</v>
      </c>
      <c r="I258" s="19" t="n">
        <f aca="false">D258-H258</f>
        <v>368</v>
      </c>
      <c r="J258" s="19" t="n">
        <f aca="false">I258*E258</f>
        <v>3680</v>
      </c>
      <c r="K258" s="16" t="n">
        <f aca="false">IF(D258=0,0,I258/D258)</f>
        <v>0.766666666666667</v>
      </c>
      <c r="L258" s="16" t="n">
        <f aca="false">IF(J258=0,0,F258/J258)</f>
        <v>0.894565217391304</v>
      </c>
      <c r="M258" s="16" t="n">
        <f aca="false">IF(F258=0,0,G258/F258)</f>
        <v>0.943803159173755</v>
      </c>
      <c r="N258" s="16" t="n">
        <f aca="false">K258*L258*M258</f>
        <v>0.647291666666667</v>
      </c>
      <c r="O258" s="19" t="n">
        <f aca="false">MONTH(A258)</f>
        <v>7</v>
      </c>
      <c r="P258" s="19" t="n">
        <f aca="false">INT((A258-DATE(2026,7,1))/7)+1</f>
        <v>5</v>
      </c>
    </row>
    <row r="259" customFormat="false" ht="15" hidden="false" customHeight="false" outlineLevel="0" collapsed="false">
      <c r="A259" s="25" t="n">
        <v>46232</v>
      </c>
      <c r="B259" s="26" t="s">
        <v>17</v>
      </c>
      <c r="C259" s="26" t="s">
        <v>74</v>
      </c>
      <c r="D259" s="26" t="n">
        <v>480</v>
      </c>
      <c r="E259" s="26" t="n">
        <v>10</v>
      </c>
      <c r="F259" s="26" t="n">
        <v>3724</v>
      </c>
      <c r="G259" s="26" t="n">
        <v>3597</v>
      </c>
      <c r="H259" s="19" t="n">
        <f aca="false">SUMIFS(Paradas!$E$2:$E$1973,Paradas!$A$2:$A$1973,A259,Paradas!$B$2:$B$1973,B259,Paradas!$C$2:$C$1973,C259)</f>
        <v>47</v>
      </c>
      <c r="I259" s="19" t="n">
        <f aca="false">D259-H259</f>
        <v>433</v>
      </c>
      <c r="J259" s="19" t="n">
        <f aca="false">I259*E259</f>
        <v>4330</v>
      </c>
      <c r="K259" s="16" t="n">
        <f aca="false">IF(D259=0,0,I259/D259)</f>
        <v>0.902083333333333</v>
      </c>
      <c r="L259" s="16" t="n">
        <f aca="false">IF(J259=0,0,F259/J259)</f>
        <v>0.860046189376443</v>
      </c>
      <c r="M259" s="16" t="n">
        <f aca="false">IF(F259=0,0,G259/F259)</f>
        <v>0.965896885069817</v>
      </c>
      <c r="N259" s="16" t="n">
        <f aca="false">K259*L259*M259</f>
        <v>0.749375</v>
      </c>
      <c r="O259" s="19" t="n">
        <f aca="false">MONTH(A259)</f>
        <v>7</v>
      </c>
      <c r="P259" s="19" t="n">
        <f aca="false">INT((A259-DATE(2026,7,1))/7)+1</f>
        <v>5</v>
      </c>
    </row>
    <row r="260" customFormat="false" ht="15" hidden="false" customHeight="false" outlineLevel="0" collapsed="false">
      <c r="A260" s="25" t="n">
        <v>46232</v>
      </c>
      <c r="B260" s="26" t="s">
        <v>18</v>
      </c>
      <c r="C260" s="26" t="s">
        <v>72</v>
      </c>
      <c r="D260" s="26" t="n">
        <v>480</v>
      </c>
      <c r="E260" s="26" t="n">
        <v>8</v>
      </c>
      <c r="F260" s="26" t="n">
        <v>3312</v>
      </c>
      <c r="G260" s="26" t="n">
        <v>3240</v>
      </c>
      <c r="H260" s="19" t="n">
        <f aca="false">SUMIFS(Paradas!$E$2:$E$1973,Paradas!$A$2:$A$1973,A260,Paradas!$B$2:$B$1973,B260,Paradas!$C$2:$C$1973,C260)</f>
        <v>55</v>
      </c>
      <c r="I260" s="19" t="n">
        <f aca="false">D260-H260</f>
        <v>425</v>
      </c>
      <c r="J260" s="19" t="n">
        <f aca="false">I260*E260</f>
        <v>3400</v>
      </c>
      <c r="K260" s="16" t="n">
        <f aca="false">IF(D260=0,0,I260/D260)</f>
        <v>0.885416666666667</v>
      </c>
      <c r="L260" s="16" t="n">
        <f aca="false">IF(J260=0,0,F260/J260)</f>
        <v>0.974117647058824</v>
      </c>
      <c r="M260" s="16" t="n">
        <f aca="false">IF(F260=0,0,G260/F260)</f>
        <v>0.978260869565217</v>
      </c>
      <c r="N260" s="16" t="n">
        <f aca="false">K260*L260*M260</f>
        <v>0.84375</v>
      </c>
      <c r="O260" s="19" t="n">
        <f aca="false">MONTH(A260)</f>
        <v>7</v>
      </c>
      <c r="P260" s="19" t="n">
        <f aca="false">INT((A260-DATE(2026,7,1))/7)+1</f>
        <v>5</v>
      </c>
    </row>
    <row r="261" customFormat="false" ht="15" hidden="false" customHeight="false" outlineLevel="0" collapsed="false">
      <c r="A261" s="25" t="n">
        <v>46232</v>
      </c>
      <c r="B261" s="26" t="s">
        <v>18</v>
      </c>
      <c r="C261" s="26" t="s">
        <v>73</v>
      </c>
      <c r="D261" s="26" t="n">
        <v>480</v>
      </c>
      <c r="E261" s="26" t="n">
        <v>8</v>
      </c>
      <c r="F261" s="26" t="n">
        <v>2458</v>
      </c>
      <c r="G261" s="26" t="n">
        <v>2434</v>
      </c>
      <c r="H261" s="19" t="n">
        <f aca="false">SUMIFS(Paradas!$E$2:$E$1973,Paradas!$A$2:$A$1973,A261,Paradas!$B$2:$B$1973,B261,Paradas!$C$2:$C$1973,C261)</f>
        <v>146</v>
      </c>
      <c r="I261" s="19" t="n">
        <f aca="false">D261-H261</f>
        <v>334</v>
      </c>
      <c r="J261" s="19" t="n">
        <f aca="false">I261*E261</f>
        <v>2672</v>
      </c>
      <c r="K261" s="16" t="n">
        <f aca="false">IF(D261=0,0,I261/D261)</f>
        <v>0.695833333333333</v>
      </c>
      <c r="L261" s="16" t="n">
        <f aca="false">IF(J261=0,0,F261/J261)</f>
        <v>0.919910179640719</v>
      </c>
      <c r="M261" s="16" t="n">
        <f aca="false">IF(F261=0,0,G261/F261)</f>
        <v>0.990235964198535</v>
      </c>
      <c r="N261" s="16" t="n">
        <f aca="false">K261*L261*M261</f>
        <v>0.633854166666667</v>
      </c>
      <c r="O261" s="19" t="n">
        <f aca="false">MONTH(A261)</f>
        <v>7</v>
      </c>
      <c r="P261" s="19" t="n">
        <f aca="false">INT((A261-DATE(2026,7,1))/7)+1</f>
        <v>5</v>
      </c>
    </row>
    <row r="262" customFormat="false" ht="15" hidden="false" customHeight="false" outlineLevel="0" collapsed="false">
      <c r="A262" s="25" t="n">
        <v>46232</v>
      </c>
      <c r="B262" s="26" t="s">
        <v>18</v>
      </c>
      <c r="C262" s="26" t="s">
        <v>74</v>
      </c>
      <c r="D262" s="26" t="n">
        <v>480</v>
      </c>
      <c r="E262" s="26" t="n">
        <v>8</v>
      </c>
      <c r="F262" s="26" t="n">
        <v>2538</v>
      </c>
      <c r="G262" s="26" t="n">
        <v>2484</v>
      </c>
      <c r="H262" s="19" t="n">
        <f aca="false">SUMIFS(Paradas!$E$2:$E$1973,Paradas!$A$2:$A$1973,A262,Paradas!$B$2:$B$1973,B262,Paradas!$C$2:$C$1973,C262)</f>
        <v>129</v>
      </c>
      <c r="I262" s="19" t="n">
        <f aca="false">D262-H262</f>
        <v>351</v>
      </c>
      <c r="J262" s="19" t="n">
        <f aca="false">I262*E262</f>
        <v>2808</v>
      </c>
      <c r="K262" s="16" t="n">
        <f aca="false">IF(D262=0,0,I262/D262)</f>
        <v>0.73125</v>
      </c>
      <c r="L262" s="16" t="n">
        <f aca="false">IF(J262=0,0,F262/J262)</f>
        <v>0.903846153846154</v>
      </c>
      <c r="M262" s="16" t="n">
        <f aca="false">IF(F262=0,0,G262/F262)</f>
        <v>0.978723404255319</v>
      </c>
      <c r="N262" s="16" t="n">
        <f aca="false">K262*L262*M262</f>
        <v>0.646875</v>
      </c>
      <c r="O262" s="19" t="n">
        <f aca="false">MONTH(A262)</f>
        <v>7</v>
      </c>
      <c r="P262" s="19" t="n">
        <f aca="false">INT((A262-DATE(2026,7,1))/7)+1</f>
        <v>5</v>
      </c>
    </row>
    <row r="263" customFormat="false" ht="15" hidden="false" customHeight="false" outlineLevel="0" collapsed="false">
      <c r="A263" s="25" t="n">
        <v>46233</v>
      </c>
      <c r="B263" s="26" t="s">
        <v>16</v>
      </c>
      <c r="C263" s="26" t="s">
        <v>72</v>
      </c>
      <c r="D263" s="26" t="n">
        <v>480</v>
      </c>
      <c r="E263" s="26" t="n">
        <v>12</v>
      </c>
      <c r="F263" s="26" t="n">
        <v>4923</v>
      </c>
      <c r="G263" s="26" t="n">
        <v>4757</v>
      </c>
      <c r="H263" s="19" t="n">
        <f aca="false">SUMIFS(Paradas!$E$2:$E$1973,Paradas!$A$2:$A$1973,A263,Paradas!$B$2:$B$1973,B263,Paradas!$C$2:$C$1973,C263)</f>
        <v>37</v>
      </c>
      <c r="I263" s="19" t="n">
        <f aca="false">D263-H263</f>
        <v>443</v>
      </c>
      <c r="J263" s="19" t="n">
        <f aca="false">I263*E263</f>
        <v>5316</v>
      </c>
      <c r="K263" s="16" t="n">
        <f aca="false">IF(D263=0,0,I263/D263)</f>
        <v>0.922916666666667</v>
      </c>
      <c r="L263" s="16" t="n">
        <f aca="false">IF(J263=0,0,F263/J263)</f>
        <v>0.92607223476298</v>
      </c>
      <c r="M263" s="16" t="n">
        <f aca="false">IF(F263=0,0,G263/F263)</f>
        <v>0.966280723136299</v>
      </c>
      <c r="N263" s="16" t="n">
        <f aca="false">K263*L263*M263</f>
        <v>0.825868055555556</v>
      </c>
      <c r="O263" s="19" t="n">
        <f aca="false">MONTH(A263)</f>
        <v>7</v>
      </c>
      <c r="P263" s="19" t="n">
        <f aca="false">INT((A263-DATE(2026,7,1))/7)+1</f>
        <v>5</v>
      </c>
    </row>
    <row r="264" customFormat="false" ht="15" hidden="false" customHeight="false" outlineLevel="0" collapsed="false">
      <c r="A264" s="25" t="n">
        <v>46233</v>
      </c>
      <c r="B264" s="26" t="s">
        <v>16</v>
      </c>
      <c r="C264" s="26" t="s">
        <v>73</v>
      </c>
      <c r="D264" s="26" t="n">
        <v>480</v>
      </c>
      <c r="E264" s="26" t="n">
        <v>12</v>
      </c>
      <c r="F264" s="26" t="n">
        <v>2920</v>
      </c>
      <c r="G264" s="26" t="n">
        <v>2840</v>
      </c>
      <c r="H264" s="19" t="n">
        <f aca="false">SUMIFS(Paradas!$E$2:$E$1973,Paradas!$A$2:$A$1973,A264,Paradas!$B$2:$B$1973,B264,Paradas!$C$2:$C$1973,C264)</f>
        <v>198</v>
      </c>
      <c r="I264" s="19" t="n">
        <f aca="false">D264-H264</f>
        <v>282</v>
      </c>
      <c r="J264" s="19" t="n">
        <f aca="false">I264*E264</f>
        <v>3384</v>
      </c>
      <c r="K264" s="16" t="n">
        <f aca="false">IF(D264=0,0,I264/D264)</f>
        <v>0.5875</v>
      </c>
      <c r="L264" s="16" t="n">
        <f aca="false">IF(J264=0,0,F264/J264)</f>
        <v>0.862884160756501</v>
      </c>
      <c r="M264" s="16" t="n">
        <f aca="false">IF(F264=0,0,G264/F264)</f>
        <v>0.972602739726027</v>
      </c>
      <c r="N264" s="16" t="n">
        <f aca="false">K264*L264*M264</f>
        <v>0.493055555555556</v>
      </c>
      <c r="O264" s="19" t="n">
        <f aca="false">MONTH(A264)</f>
        <v>7</v>
      </c>
      <c r="P264" s="19" t="n">
        <f aca="false">INT((A264-DATE(2026,7,1))/7)+1</f>
        <v>5</v>
      </c>
    </row>
    <row r="265" customFormat="false" ht="15" hidden="false" customHeight="false" outlineLevel="0" collapsed="false">
      <c r="A265" s="25" t="n">
        <v>46233</v>
      </c>
      <c r="B265" s="26" t="s">
        <v>16</v>
      </c>
      <c r="C265" s="26" t="s">
        <v>74</v>
      </c>
      <c r="D265" s="26" t="n">
        <v>480</v>
      </c>
      <c r="E265" s="26" t="n">
        <v>12</v>
      </c>
      <c r="F265" s="26" t="n">
        <v>4408</v>
      </c>
      <c r="G265" s="26" t="n">
        <v>4251</v>
      </c>
      <c r="H265" s="19" t="n">
        <f aca="false">SUMIFS(Paradas!$E$2:$E$1973,Paradas!$A$2:$A$1973,A265,Paradas!$B$2:$B$1973,B265,Paradas!$C$2:$C$1973,C265)</f>
        <v>21</v>
      </c>
      <c r="I265" s="19" t="n">
        <f aca="false">D265-H265</f>
        <v>459</v>
      </c>
      <c r="J265" s="19" t="n">
        <f aca="false">I265*E265</f>
        <v>5508</v>
      </c>
      <c r="K265" s="16" t="n">
        <f aca="false">IF(D265=0,0,I265/D265)</f>
        <v>0.95625</v>
      </c>
      <c r="L265" s="16" t="n">
        <f aca="false">IF(J265=0,0,F265/J265)</f>
        <v>0.800290486564996</v>
      </c>
      <c r="M265" s="16" t="n">
        <f aca="false">IF(F265=0,0,G265/F265)</f>
        <v>0.964382940108893</v>
      </c>
      <c r="N265" s="16" t="n">
        <f aca="false">K265*L265*M265</f>
        <v>0.738020833333333</v>
      </c>
      <c r="O265" s="19" t="n">
        <f aca="false">MONTH(A265)</f>
        <v>7</v>
      </c>
      <c r="P265" s="19" t="n">
        <f aca="false">INT((A265-DATE(2026,7,1))/7)+1</f>
        <v>5</v>
      </c>
    </row>
    <row r="266" customFormat="false" ht="15" hidden="false" customHeight="false" outlineLevel="0" collapsed="false">
      <c r="A266" s="25" t="n">
        <v>46233</v>
      </c>
      <c r="B266" s="26" t="s">
        <v>17</v>
      </c>
      <c r="C266" s="26" t="s">
        <v>72</v>
      </c>
      <c r="D266" s="26" t="n">
        <v>480</v>
      </c>
      <c r="E266" s="26" t="n">
        <v>10</v>
      </c>
      <c r="F266" s="26" t="n">
        <v>3712</v>
      </c>
      <c r="G266" s="26" t="n">
        <v>3570</v>
      </c>
      <c r="H266" s="19" t="n">
        <f aca="false">SUMIFS(Paradas!$E$2:$E$1973,Paradas!$A$2:$A$1973,A266,Paradas!$B$2:$B$1973,B266,Paradas!$C$2:$C$1973,C266)</f>
        <v>62</v>
      </c>
      <c r="I266" s="19" t="n">
        <f aca="false">D266-H266</f>
        <v>418</v>
      </c>
      <c r="J266" s="19" t="n">
        <f aca="false">I266*E266</f>
        <v>4180</v>
      </c>
      <c r="K266" s="16" t="n">
        <f aca="false">IF(D266=0,0,I266/D266)</f>
        <v>0.870833333333333</v>
      </c>
      <c r="L266" s="16" t="n">
        <f aca="false">IF(J266=0,0,F266/J266)</f>
        <v>0.888038277511962</v>
      </c>
      <c r="M266" s="16" t="n">
        <f aca="false">IF(F266=0,0,G266/F266)</f>
        <v>0.961745689655172</v>
      </c>
      <c r="N266" s="16" t="n">
        <f aca="false">K266*L266*M266</f>
        <v>0.74375</v>
      </c>
      <c r="O266" s="19" t="n">
        <f aca="false">MONTH(A266)</f>
        <v>7</v>
      </c>
      <c r="P266" s="19" t="n">
        <f aca="false">INT((A266-DATE(2026,7,1))/7)+1</f>
        <v>5</v>
      </c>
    </row>
    <row r="267" customFormat="false" ht="15" hidden="false" customHeight="false" outlineLevel="0" collapsed="false">
      <c r="A267" s="25" t="n">
        <v>46233</v>
      </c>
      <c r="B267" s="26" t="s">
        <v>17</v>
      </c>
      <c r="C267" s="26" t="s">
        <v>73</v>
      </c>
      <c r="D267" s="26" t="n">
        <v>480</v>
      </c>
      <c r="E267" s="26" t="n">
        <v>10</v>
      </c>
      <c r="F267" s="26" t="n">
        <v>3832</v>
      </c>
      <c r="G267" s="26" t="n">
        <v>3674</v>
      </c>
      <c r="H267" s="19" t="n">
        <f aca="false">SUMIFS(Paradas!$E$2:$E$1973,Paradas!$A$2:$A$1973,A267,Paradas!$B$2:$B$1973,B267,Paradas!$C$2:$C$1973,C267)</f>
        <v>34</v>
      </c>
      <c r="I267" s="19" t="n">
        <f aca="false">D267-H267</f>
        <v>446</v>
      </c>
      <c r="J267" s="19" t="n">
        <f aca="false">I267*E267</f>
        <v>4460</v>
      </c>
      <c r="K267" s="16" t="n">
        <f aca="false">IF(D267=0,0,I267/D267)</f>
        <v>0.929166666666667</v>
      </c>
      <c r="L267" s="16" t="n">
        <f aca="false">IF(J267=0,0,F267/J267)</f>
        <v>0.859192825112108</v>
      </c>
      <c r="M267" s="16" t="n">
        <f aca="false">IF(F267=0,0,G267/F267)</f>
        <v>0.958768267223382</v>
      </c>
      <c r="N267" s="16" t="n">
        <f aca="false">K267*L267*M267</f>
        <v>0.765416666666667</v>
      </c>
      <c r="O267" s="19" t="n">
        <f aca="false">MONTH(A267)</f>
        <v>7</v>
      </c>
      <c r="P267" s="19" t="n">
        <f aca="false">INT((A267-DATE(2026,7,1))/7)+1</f>
        <v>5</v>
      </c>
    </row>
    <row r="268" customFormat="false" ht="15" hidden="false" customHeight="false" outlineLevel="0" collapsed="false">
      <c r="A268" s="25" t="n">
        <v>46233</v>
      </c>
      <c r="B268" s="26" t="s">
        <v>17</v>
      </c>
      <c r="C268" s="26" t="s">
        <v>74</v>
      </c>
      <c r="D268" s="26" t="n">
        <v>480</v>
      </c>
      <c r="E268" s="26" t="n">
        <v>10</v>
      </c>
      <c r="F268" s="26" t="n">
        <v>3648</v>
      </c>
      <c r="G268" s="26" t="n">
        <v>3519</v>
      </c>
      <c r="H268" s="19" t="n">
        <f aca="false">SUMIFS(Paradas!$E$2:$E$1973,Paradas!$A$2:$A$1973,A268,Paradas!$B$2:$B$1973,B268,Paradas!$C$2:$C$1973,C268)</f>
        <v>42</v>
      </c>
      <c r="I268" s="19" t="n">
        <f aca="false">D268-H268</f>
        <v>438</v>
      </c>
      <c r="J268" s="19" t="n">
        <f aca="false">I268*E268</f>
        <v>4380</v>
      </c>
      <c r="K268" s="16" t="n">
        <f aca="false">IF(D268=0,0,I268/D268)</f>
        <v>0.9125</v>
      </c>
      <c r="L268" s="16" t="n">
        <f aca="false">IF(J268=0,0,F268/J268)</f>
        <v>0.832876712328767</v>
      </c>
      <c r="M268" s="16" t="n">
        <f aca="false">IF(F268=0,0,G268/F268)</f>
        <v>0.964638157894737</v>
      </c>
      <c r="N268" s="16" t="n">
        <f aca="false">K268*L268*M268</f>
        <v>0.733125</v>
      </c>
      <c r="O268" s="19" t="n">
        <f aca="false">MONTH(A268)</f>
        <v>7</v>
      </c>
      <c r="P268" s="19" t="n">
        <f aca="false">INT((A268-DATE(2026,7,1))/7)+1</f>
        <v>5</v>
      </c>
    </row>
    <row r="269" customFormat="false" ht="15" hidden="false" customHeight="false" outlineLevel="0" collapsed="false">
      <c r="A269" s="25" t="n">
        <v>46233</v>
      </c>
      <c r="B269" s="26" t="s">
        <v>18</v>
      </c>
      <c r="C269" s="26" t="s">
        <v>72</v>
      </c>
      <c r="D269" s="26" t="n">
        <v>480</v>
      </c>
      <c r="E269" s="26" t="n">
        <v>8</v>
      </c>
      <c r="F269" s="26" t="n">
        <v>2636</v>
      </c>
      <c r="G269" s="26" t="n">
        <v>2541</v>
      </c>
      <c r="H269" s="19" t="n">
        <f aca="false">SUMIFS(Paradas!$E$2:$E$1973,Paradas!$A$2:$A$1973,A269,Paradas!$B$2:$B$1973,B269,Paradas!$C$2:$C$1973,C269)</f>
        <v>130</v>
      </c>
      <c r="I269" s="19" t="n">
        <f aca="false">D269-H269</f>
        <v>350</v>
      </c>
      <c r="J269" s="19" t="n">
        <f aca="false">I269*E269</f>
        <v>2800</v>
      </c>
      <c r="K269" s="16" t="n">
        <f aca="false">IF(D269=0,0,I269/D269)</f>
        <v>0.729166666666667</v>
      </c>
      <c r="L269" s="16" t="n">
        <f aca="false">IF(J269=0,0,F269/J269)</f>
        <v>0.941428571428571</v>
      </c>
      <c r="M269" s="16" t="n">
        <f aca="false">IF(F269=0,0,G269/F269)</f>
        <v>0.963960546282246</v>
      </c>
      <c r="N269" s="16" t="n">
        <f aca="false">K269*L269*M269</f>
        <v>0.66171875</v>
      </c>
      <c r="O269" s="19" t="n">
        <f aca="false">MONTH(A269)</f>
        <v>7</v>
      </c>
      <c r="P269" s="19" t="n">
        <f aca="false">INT((A269-DATE(2026,7,1))/7)+1</f>
        <v>5</v>
      </c>
    </row>
    <row r="270" customFormat="false" ht="15" hidden="false" customHeight="false" outlineLevel="0" collapsed="false">
      <c r="A270" s="25" t="n">
        <v>46233</v>
      </c>
      <c r="B270" s="26" t="s">
        <v>18</v>
      </c>
      <c r="C270" s="26" t="s">
        <v>73</v>
      </c>
      <c r="D270" s="26" t="n">
        <v>480</v>
      </c>
      <c r="E270" s="26" t="n">
        <v>8</v>
      </c>
      <c r="F270" s="26" t="n">
        <v>2680</v>
      </c>
      <c r="G270" s="26" t="n">
        <v>2647</v>
      </c>
      <c r="H270" s="19" t="n">
        <f aca="false">SUMIFS(Paradas!$E$2:$E$1973,Paradas!$A$2:$A$1973,A270,Paradas!$B$2:$B$1973,B270,Paradas!$C$2:$C$1973,C270)</f>
        <v>100</v>
      </c>
      <c r="I270" s="19" t="n">
        <f aca="false">D270-H270</f>
        <v>380</v>
      </c>
      <c r="J270" s="19" t="n">
        <f aca="false">I270*E270</f>
        <v>3040</v>
      </c>
      <c r="K270" s="16" t="n">
        <f aca="false">IF(D270=0,0,I270/D270)</f>
        <v>0.791666666666667</v>
      </c>
      <c r="L270" s="16" t="n">
        <f aca="false">IF(J270=0,0,F270/J270)</f>
        <v>0.881578947368421</v>
      </c>
      <c r="M270" s="16" t="n">
        <f aca="false">IF(F270=0,0,G270/F270)</f>
        <v>0.987686567164179</v>
      </c>
      <c r="N270" s="16" t="n">
        <f aca="false">K270*L270*M270</f>
        <v>0.689322916666667</v>
      </c>
      <c r="O270" s="19" t="n">
        <f aca="false">MONTH(A270)</f>
        <v>7</v>
      </c>
      <c r="P270" s="19" t="n">
        <f aca="false">INT((A270-DATE(2026,7,1))/7)+1</f>
        <v>5</v>
      </c>
    </row>
    <row r="271" customFormat="false" ht="15" hidden="false" customHeight="false" outlineLevel="0" collapsed="false">
      <c r="A271" s="25" t="n">
        <v>46233</v>
      </c>
      <c r="B271" s="26" t="s">
        <v>18</v>
      </c>
      <c r="C271" s="26" t="s">
        <v>74</v>
      </c>
      <c r="D271" s="26" t="n">
        <v>480</v>
      </c>
      <c r="E271" s="26" t="n">
        <v>8</v>
      </c>
      <c r="F271" s="26" t="n">
        <v>2573</v>
      </c>
      <c r="G271" s="26" t="n">
        <v>2475</v>
      </c>
      <c r="H271" s="19" t="n">
        <f aca="false">SUMIFS(Paradas!$E$2:$E$1973,Paradas!$A$2:$A$1973,A271,Paradas!$B$2:$B$1973,B271,Paradas!$C$2:$C$1973,C271)</f>
        <v>105</v>
      </c>
      <c r="I271" s="19" t="n">
        <f aca="false">D271-H271</f>
        <v>375</v>
      </c>
      <c r="J271" s="19" t="n">
        <f aca="false">I271*E271</f>
        <v>3000</v>
      </c>
      <c r="K271" s="16" t="n">
        <f aca="false">IF(D271=0,0,I271/D271)</f>
        <v>0.78125</v>
      </c>
      <c r="L271" s="16" t="n">
        <f aca="false">IF(J271=0,0,F271/J271)</f>
        <v>0.857666666666667</v>
      </c>
      <c r="M271" s="16" t="n">
        <f aca="false">IF(F271=0,0,G271/F271)</f>
        <v>0.961912164788185</v>
      </c>
      <c r="N271" s="16" t="n">
        <f aca="false">K271*L271*M271</f>
        <v>0.64453125</v>
      </c>
      <c r="O271" s="19" t="n">
        <f aca="false">MONTH(A271)</f>
        <v>7</v>
      </c>
      <c r="P271" s="19" t="n">
        <f aca="false">INT((A271-DATE(2026,7,1))/7)+1</f>
        <v>5</v>
      </c>
    </row>
    <row r="272" customFormat="false" ht="15" hidden="false" customHeight="false" outlineLevel="0" collapsed="false">
      <c r="A272" s="25" t="n">
        <v>46234</v>
      </c>
      <c r="B272" s="26" t="s">
        <v>16</v>
      </c>
      <c r="C272" s="26" t="s">
        <v>72</v>
      </c>
      <c r="D272" s="26" t="n">
        <v>480</v>
      </c>
      <c r="E272" s="26" t="n">
        <v>12</v>
      </c>
      <c r="F272" s="26" t="n">
        <v>5079</v>
      </c>
      <c r="G272" s="26" t="n">
        <v>4919</v>
      </c>
      <c r="H272" s="19" t="n">
        <f aca="false">SUMIFS(Paradas!$E$2:$E$1973,Paradas!$A$2:$A$1973,A272,Paradas!$B$2:$B$1973,B272,Paradas!$C$2:$C$1973,C272)</f>
        <v>0</v>
      </c>
      <c r="I272" s="19" t="n">
        <f aca="false">D272-H272</f>
        <v>480</v>
      </c>
      <c r="J272" s="19" t="n">
        <f aca="false">I272*E272</f>
        <v>5760</v>
      </c>
      <c r="K272" s="16" t="n">
        <f aca="false">IF(D272=0,0,I272/D272)</f>
        <v>1</v>
      </c>
      <c r="L272" s="16" t="n">
        <f aca="false">IF(J272=0,0,F272/J272)</f>
        <v>0.881770833333333</v>
      </c>
      <c r="M272" s="16" t="n">
        <f aca="false">IF(F272=0,0,G272/F272)</f>
        <v>0.968497735774759</v>
      </c>
      <c r="N272" s="16" t="n">
        <f aca="false">K272*L272*M272</f>
        <v>0.853993055555556</v>
      </c>
      <c r="O272" s="19" t="n">
        <f aca="false">MONTH(A272)</f>
        <v>7</v>
      </c>
      <c r="P272" s="19" t="n">
        <f aca="false">INT((A272-DATE(2026,7,1))/7)+1</f>
        <v>5</v>
      </c>
    </row>
    <row r="273" customFormat="false" ht="15" hidden="false" customHeight="false" outlineLevel="0" collapsed="false">
      <c r="A273" s="25" t="n">
        <v>46234</v>
      </c>
      <c r="B273" s="26" t="s">
        <v>16</v>
      </c>
      <c r="C273" s="26" t="s">
        <v>73</v>
      </c>
      <c r="D273" s="26" t="n">
        <v>480</v>
      </c>
      <c r="E273" s="26" t="n">
        <v>12</v>
      </c>
      <c r="F273" s="26" t="n">
        <v>4177</v>
      </c>
      <c r="G273" s="26" t="n">
        <v>4143</v>
      </c>
      <c r="H273" s="19" t="n">
        <f aca="false">SUMIFS(Paradas!$E$2:$E$1973,Paradas!$A$2:$A$1973,A273,Paradas!$B$2:$B$1973,B273,Paradas!$C$2:$C$1973,C273)</f>
        <v>110</v>
      </c>
      <c r="I273" s="19" t="n">
        <f aca="false">D273-H273</f>
        <v>370</v>
      </c>
      <c r="J273" s="19" t="n">
        <f aca="false">I273*E273</f>
        <v>4440</v>
      </c>
      <c r="K273" s="16" t="n">
        <f aca="false">IF(D273=0,0,I273/D273)</f>
        <v>0.770833333333333</v>
      </c>
      <c r="L273" s="16" t="n">
        <f aca="false">IF(J273=0,0,F273/J273)</f>
        <v>0.940765765765766</v>
      </c>
      <c r="M273" s="16" t="n">
        <f aca="false">IF(F273=0,0,G273/F273)</f>
        <v>0.991860186736893</v>
      </c>
      <c r="N273" s="16" t="n">
        <f aca="false">K273*L273*M273</f>
        <v>0.719270833333333</v>
      </c>
      <c r="O273" s="19" t="n">
        <f aca="false">MONTH(A273)</f>
        <v>7</v>
      </c>
      <c r="P273" s="19" t="n">
        <f aca="false">INT((A273-DATE(2026,7,1))/7)+1</f>
        <v>5</v>
      </c>
    </row>
    <row r="274" customFormat="false" ht="15" hidden="false" customHeight="false" outlineLevel="0" collapsed="false">
      <c r="A274" s="25" t="n">
        <v>46234</v>
      </c>
      <c r="B274" s="26" t="s">
        <v>16</v>
      </c>
      <c r="C274" s="26" t="s">
        <v>74</v>
      </c>
      <c r="D274" s="26" t="n">
        <v>480</v>
      </c>
      <c r="E274" s="26" t="n">
        <v>12</v>
      </c>
      <c r="F274" s="26" t="n">
        <v>3747</v>
      </c>
      <c r="G274" s="26" t="n">
        <v>3706</v>
      </c>
      <c r="H274" s="19" t="n">
        <f aca="false">SUMIFS(Paradas!$E$2:$E$1973,Paradas!$A$2:$A$1973,A274,Paradas!$B$2:$B$1973,B274,Paradas!$C$2:$C$1973,C274)</f>
        <v>123</v>
      </c>
      <c r="I274" s="19" t="n">
        <f aca="false">D274-H274</f>
        <v>357</v>
      </c>
      <c r="J274" s="19" t="n">
        <f aca="false">I274*E274</f>
        <v>4284</v>
      </c>
      <c r="K274" s="16" t="n">
        <f aca="false">IF(D274=0,0,I274/D274)</f>
        <v>0.74375</v>
      </c>
      <c r="L274" s="16" t="n">
        <f aca="false">IF(J274=0,0,F274/J274)</f>
        <v>0.874649859943978</v>
      </c>
      <c r="M274" s="16" t="n">
        <f aca="false">IF(F274=0,0,G274/F274)</f>
        <v>0.989057912997064</v>
      </c>
      <c r="N274" s="16" t="n">
        <f aca="false">K274*L274*M274</f>
        <v>0.643402777777778</v>
      </c>
      <c r="O274" s="19" t="n">
        <f aca="false">MONTH(A274)</f>
        <v>7</v>
      </c>
      <c r="P274" s="19" t="n">
        <f aca="false">INT((A274-DATE(2026,7,1))/7)+1</f>
        <v>5</v>
      </c>
    </row>
    <row r="275" customFormat="false" ht="15" hidden="false" customHeight="false" outlineLevel="0" collapsed="false">
      <c r="A275" s="25" t="n">
        <v>46234</v>
      </c>
      <c r="B275" s="26" t="s">
        <v>17</v>
      </c>
      <c r="C275" s="26" t="s">
        <v>72</v>
      </c>
      <c r="D275" s="26" t="n">
        <v>480</v>
      </c>
      <c r="E275" s="26" t="n">
        <v>10</v>
      </c>
      <c r="F275" s="26" t="n">
        <v>3346</v>
      </c>
      <c r="G275" s="26" t="n">
        <v>3228</v>
      </c>
      <c r="H275" s="19" t="n">
        <f aca="false">SUMIFS(Paradas!$E$2:$E$1973,Paradas!$A$2:$A$1973,A275,Paradas!$B$2:$B$1973,B275,Paradas!$C$2:$C$1973,C275)</f>
        <v>122</v>
      </c>
      <c r="I275" s="19" t="n">
        <f aca="false">D275-H275</f>
        <v>358</v>
      </c>
      <c r="J275" s="19" t="n">
        <f aca="false">I275*E275</f>
        <v>3580</v>
      </c>
      <c r="K275" s="16" t="n">
        <f aca="false">IF(D275=0,0,I275/D275)</f>
        <v>0.745833333333333</v>
      </c>
      <c r="L275" s="16" t="n">
        <f aca="false">IF(J275=0,0,F275/J275)</f>
        <v>0.93463687150838</v>
      </c>
      <c r="M275" s="16" t="n">
        <f aca="false">IF(F275=0,0,G275/F275)</f>
        <v>0.964734010759115</v>
      </c>
      <c r="N275" s="16" t="n">
        <f aca="false">K275*L275*M275</f>
        <v>0.6725</v>
      </c>
      <c r="O275" s="19" t="n">
        <f aca="false">MONTH(A275)</f>
        <v>7</v>
      </c>
      <c r="P275" s="19" t="n">
        <f aca="false">INT((A275-DATE(2026,7,1))/7)+1</f>
        <v>5</v>
      </c>
    </row>
    <row r="276" customFormat="false" ht="15" hidden="false" customHeight="false" outlineLevel="0" collapsed="false">
      <c r="A276" s="25" t="n">
        <v>46234</v>
      </c>
      <c r="B276" s="26" t="s">
        <v>17</v>
      </c>
      <c r="C276" s="26" t="s">
        <v>73</v>
      </c>
      <c r="D276" s="26" t="n">
        <v>480</v>
      </c>
      <c r="E276" s="26" t="n">
        <v>10</v>
      </c>
      <c r="F276" s="26" t="n">
        <v>2917</v>
      </c>
      <c r="G276" s="26" t="n">
        <v>2765</v>
      </c>
      <c r="H276" s="19" t="n">
        <f aca="false">SUMIFS(Paradas!$E$2:$E$1973,Paradas!$A$2:$A$1973,A276,Paradas!$B$2:$B$1973,B276,Paradas!$C$2:$C$1973,C276)</f>
        <v>154</v>
      </c>
      <c r="I276" s="19" t="n">
        <f aca="false">D276-H276</f>
        <v>326</v>
      </c>
      <c r="J276" s="19" t="n">
        <f aca="false">I276*E276</f>
        <v>3260</v>
      </c>
      <c r="K276" s="16" t="n">
        <f aca="false">IF(D276=0,0,I276/D276)</f>
        <v>0.679166666666667</v>
      </c>
      <c r="L276" s="16" t="n">
        <f aca="false">IF(J276=0,0,F276/J276)</f>
        <v>0.89478527607362</v>
      </c>
      <c r="M276" s="16" t="n">
        <f aca="false">IF(F276=0,0,G276/F276)</f>
        <v>0.947891669523483</v>
      </c>
      <c r="N276" s="16" t="n">
        <f aca="false">K276*L276*M276</f>
        <v>0.576041666666667</v>
      </c>
      <c r="O276" s="19" t="n">
        <f aca="false">MONTH(A276)</f>
        <v>7</v>
      </c>
      <c r="P276" s="19" t="n">
        <f aca="false">INT((A276-DATE(2026,7,1))/7)+1</f>
        <v>5</v>
      </c>
    </row>
    <row r="277" customFormat="false" ht="15" hidden="false" customHeight="false" outlineLevel="0" collapsed="false">
      <c r="A277" s="25" t="n">
        <v>46234</v>
      </c>
      <c r="B277" s="26" t="s">
        <v>17</v>
      </c>
      <c r="C277" s="26" t="s">
        <v>74</v>
      </c>
      <c r="D277" s="26" t="n">
        <v>480</v>
      </c>
      <c r="E277" s="26" t="n">
        <v>10</v>
      </c>
      <c r="F277" s="26" t="n">
        <v>3232</v>
      </c>
      <c r="G277" s="26" t="n">
        <v>3063</v>
      </c>
      <c r="H277" s="19" t="n">
        <f aca="false">SUMIFS(Paradas!$E$2:$E$1973,Paradas!$A$2:$A$1973,A277,Paradas!$B$2:$B$1973,B277,Paradas!$C$2:$C$1973,C277)</f>
        <v>88</v>
      </c>
      <c r="I277" s="19" t="n">
        <f aca="false">D277-H277</f>
        <v>392</v>
      </c>
      <c r="J277" s="19" t="n">
        <f aca="false">I277*E277</f>
        <v>3920</v>
      </c>
      <c r="K277" s="16" t="n">
        <f aca="false">IF(D277=0,0,I277/D277)</f>
        <v>0.816666666666667</v>
      </c>
      <c r="L277" s="16" t="n">
        <f aca="false">IF(J277=0,0,F277/J277)</f>
        <v>0.824489795918367</v>
      </c>
      <c r="M277" s="16" t="n">
        <f aca="false">IF(F277=0,0,G277/F277)</f>
        <v>0.947710396039604</v>
      </c>
      <c r="N277" s="16" t="n">
        <f aca="false">K277*L277*M277</f>
        <v>0.638125</v>
      </c>
      <c r="O277" s="19" t="n">
        <f aca="false">MONTH(A277)</f>
        <v>7</v>
      </c>
      <c r="P277" s="19" t="n">
        <f aca="false">INT((A277-DATE(2026,7,1))/7)+1</f>
        <v>5</v>
      </c>
    </row>
    <row r="278" customFormat="false" ht="15" hidden="false" customHeight="false" outlineLevel="0" collapsed="false">
      <c r="A278" s="25" t="n">
        <v>46234</v>
      </c>
      <c r="B278" s="26" t="s">
        <v>18</v>
      </c>
      <c r="C278" s="26" t="s">
        <v>72</v>
      </c>
      <c r="D278" s="26" t="n">
        <v>480</v>
      </c>
      <c r="E278" s="26" t="n">
        <v>8</v>
      </c>
      <c r="F278" s="26" t="n">
        <v>2247</v>
      </c>
      <c r="G278" s="26" t="n">
        <v>2184</v>
      </c>
      <c r="H278" s="19" t="n">
        <f aca="false">SUMIFS(Paradas!$E$2:$E$1973,Paradas!$A$2:$A$1973,A278,Paradas!$B$2:$B$1973,B278,Paradas!$C$2:$C$1973,C278)</f>
        <v>171</v>
      </c>
      <c r="I278" s="19" t="n">
        <f aca="false">D278-H278</f>
        <v>309</v>
      </c>
      <c r="J278" s="19" t="n">
        <f aca="false">I278*E278</f>
        <v>2472</v>
      </c>
      <c r="K278" s="16" t="n">
        <f aca="false">IF(D278=0,0,I278/D278)</f>
        <v>0.64375</v>
      </c>
      <c r="L278" s="16" t="n">
        <f aca="false">IF(J278=0,0,F278/J278)</f>
        <v>0.908980582524272</v>
      </c>
      <c r="M278" s="16" t="n">
        <f aca="false">IF(F278=0,0,G278/F278)</f>
        <v>0.97196261682243</v>
      </c>
      <c r="N278" s="16" t="n">
        <f aca="false">K278*L278*M278</f>
        <v>0.56875</v>
      </c>
      <c r="O278" s="19" t="n">
        <f aca="false">MONTH(A278)</f>
        <v>7</v>
      </c>
      <c r="P278" s="19" t="n">
        <f aca="false">INT((A278-DATE(2026,7,1))/7)+1</f>
        <v>5</v>
      </c>
    </row>
    <row r="279" customFormat="false" ht="15" hidden="false" customHeight="false" outlineLevel="0" collapsed="false">
      <c r="A279" s="25" t="n">
        <v>46234</v>
      </c>
      <c r="B279" s="26" t="s">
        <v>18</v>
      </c>
      <c r="C279" s="26" t="s">
        <v>73</v>
      </c>
      <c r="D279" s="26" t="n">
        <v>480</v>
      </c>
      <c r="E279" s="26" t="n">
        <v>8</v>
      </c>
      <c r="F279" s="26" t="n">
        <v>2847</v>
      </c>
      <c r="G279" s="26" t="n">
        <v>2776</v>
      </c>
      <c r="H279" s="19" t="n">
        <f aca="false">SUMIFS(Paradas!$E$2:$E$1973,Paradas!$A$2:$A$1973,A279,Paradas!$B$2:$B$1973,B279,Paradas!$C$2:$C$1973,C279)</f>
        <v>93</v>
      </c>
      <c r="I279" s="19" t="n">
        <f aca="false">D279-H279</f>
        <v>387</v>
      </c>
      <c r="J279" s="19" t="n">
        <f aca="false">I279*E279</f>
        <v>3096</v>
      </c>
      <c r="K279" s="16" t="n">
        <f aca="false">IF(D279=0,0,I279/D279)</f>
        <v>0.80625</v>
      </c>
      <c r="L279" s="16" t="n">
        <f aca="false">IF(J279=0,0,F279/J279)</f>
        <v>0.919573643410853</v>
      </c>
      <c r="M279" s="16" t="n">
        <f aca="false">IF(F279=0,0,G279/F279)</f>
        <v>0.975061468212153</v>
      </c>
      <c r="N279" s="16" t="n">
        <f aca="false">K279*L279*M279</f>
        <v>0.722916666666667</v>
      </c>
      <c r="O279" s="19" t="n">
        <f aca="false">MONTH(A279)</f>
        <v>7</v>
      </c>
      <c r="P279" s="19" t="n">
        <f aca="false">INT((A279-DATE(2026,7,1))/7)+1</f>
        <v>5</v>
      </c>
    </row>
    <row r="280" customFormat="false" ht="15" hidden="false" customHeight="false" outlineLevel="0" collapsed="false">
      <c r="A280" s="25" t="n">
        <v>46234</v>
      </c>
      <c r="B280" s="26" t="s">
        <v>18</v>
      </c>
      <c r="C280" s="26" t="s">
        <v>74</v>
      </c>
      <c r="D280" s="26" t="n">
        <v>480</v>
      </c>
      <c r="E280" s="26" t="n">
        <v>8</v>
      </c>
      <c r="F280" s="26" t="n">
        <v>2349</v>
      </c>
      <c r="G280" s="26" t="n">
        <v>2258</v>
      </c>
      <c r="H280" s="19" t="n">
        <f aca="false">SUMIFS(Paradas!$E$2:$E$1973,Paradas!$A$2:$A$1973,A280,Paradas!$B$2:$B$1973,B280,Paradas!$C$2:$C$1973,C280)</f>
        <v>142</v>
      </c>
      <c r="I280" s="19" t="n">
        <f aca="false">D280-H280</f>
        <v>338</v>
      </c>
      <c r="J280" s="19" t="n">
        <f aca="false">I280*E280</f>
        <v>2704</v>
      </c>
      <c r="K280" s="16" t="n">
        <f aca="false">IF(D280=0,0,I280/D280)</f>
        <v>0.704166666666667</v>
      </c>
      <c r="L280" s="16" t="n">
        <f aca="false">IF(J280=0,0,F280/J280)</f>
        <v>0.868713017751479</v>
      </c>
      <c r="M280" s="16" t="n">
        <f aca="false">IF(F280=0,0,G280/F280)</f>
        <v>0.961260110685398</v>
      </c>
      <c r="N280" s="16" t="n">
        <f aca="false">K280*L280*M280</f>
        <v>0.588020833333333</v>
      </c>
      <c r="O280" s="19" t="n">
        <f aca="false">MONTH(A280)</f>
        <v>7</v>
      </c>
      <c r="P280" s="19" t="n">
        <f aca="false">INT((A280-DATE(2026,7,1))/7)+1</f>
        <v>5</v>
      </c>
    </row>
    <row r="281" customFormat="false" ht="15" hidden="false" customHeight="false" outlineLevel="0" collapsed="false">
      <c r="A281" s="25" t="n">
        <v>46235</v>
      </c>
      <c r="B281" s="26" t="s">
        <v>16</v>
      </c>
      <c r="C281" s="26" t="s">
        <v>72</v>
      </c>
      <c r="D281" s="26" t="n">
        <v>480</v>
      </c>
      <c r="E281" s="26" t="n">
        <v>12</v>
      </c>
      <c r="F281" s="26" t="n">
        <v>4317</v>
      </c>
      <c r="G281" s="26" t="n">
        <v>4238</v>
      </c>
      <c r="H281" s="19" t="n">
        <f aca="false">SUMIFS(Paradas!$E$2:$E$1973,Paradas!$A$2:$A$1973,A281,Paradas!$B$2:$B$1973,B281,Paradas!$C$2:$C$1973,C281)</f>
        <v>106</v>
      </c>
      <c r="I281" s="19" t="n">
        <f aca="false">D281-H281</f>
        <v>374</v>
      </c>
      <c r="J281" s="19" t="n">
        <f aca="false">I281*E281</f>
        <v>4488</v>
      </c>
      <c r="K281" s="16" t="n">
        <f aca="false">IF(D281=0,0,I281/D281)</f>
        <v>0.779166666666667</v>
      </c>
      <c r="L281" s="16" t="n">
        <f aca="false">IF(J281=0,0,F281/J281)</f>
        <v>0.961898395721925</v>
      </c>
      <c r="M281" s="16" t="n">
        <f aca="false">IF(F281=0,0,G281/F281)</f>
        <v>0.981700254806579</v>
      </c>
      <c r="N281" s="16" t="n">
        <f aca="false">K281*L281*M281</f>
        <v>0.735763888888889</v>
      </c>
      <c r="O281" s="19" t="n">
        <f aca="false">MONTH(A281)</f>
        <v>8</v>
      </c>
      <c r="P281" s="19" t="n">
        <f aca="false">INT((A281-DATE(2026,7,1))/7)+1</f>
        <v>5</v>
      </c>
    </row>
    <row r="282" customFormat="false" ht="15" hidden="false" customHeight="false" outlineLevel="0" collapsed="false">
      <c r="A282" s="25" t="n">
        <v>46235</v>
      </c>
      <c r="B282" s="26" t="s">
        <v>16</v>
      </c>
      <c r="C282" s="26" t="s">
        <v>73</v>
      </c>
      <c r="D282" s="26" t="n">
        <v>480</v>
      </c>
      <c r="E282" s="26" t="n">
        <v>12</v>
      </c>
      <c r="F282" s="26" t="n">
        <v>3816</v>
      </c>
      <c r="G282" s="26" t="n">
        <v>3791</v>
      </c>
      <c r="H282" s="19" t="n">
        <f aca="false">SUMIFS(Paradas!$E$2:$E$1973,Paradas!$A$2:$A$1973,A282,Paradas!$B$2:$B$1973,B282,Paradas!$C$2:$C$1973,C282)</f>
        <v>118</v>
      </c>
      <c r="I282" s="19" t="n">
        <f aca="false">D282-H282</f>
        <v>362</v>
      </c>
      <c r="J282" s="19" t="n">
        <f aca="false">I282*E282</f>
        <v>4344</v>
      </c>
      <c r="K282" s="16" t="n">
        <f aca="false">IF(D282=0,0,I282/D282)</f>
        <v>0.754166666666667</v>
      </c>
      <c r="L282" s="16" t="n">
        <f aca="false">IF(J282=0,0,F282/J282)</f>
        <v>0.878453038674033</v>
      </c>
      <c r="M282" s="16" t="n">
        <f aca="false">IF(F282=0,0,G282/F282)</f>
        <v>0.993448637316562</v>
      </c>
      <c r="N282" s="16" t="n">
        <f aca="false">K282*L282*M282</f>
        <v>0.658159722222222</v>
      </c>
      <c r="O282" s="19" t="n">
        <f aca="false">MONTH(A282)</f>
        <v>8</v>
      </c>
      <c r="P282" s="19" t="n">
        <f aca="false">INT((A282-DATE(2026,7,1))/7)+1</f>
        <v>5</v>
      </c>
    </row>
    <row r="283" customFormat="false" ht="15" hidden="false" customHeight="false" outlineLevel="0" collapsed="false">
      <c r="A283" s="25" t="n">
        <v>46235</v>
      </c>
      <c r="B283" s="26" t="s">
        <v>16</v>
      </c>
      <c r="C283" s="26" t="s">
        <v>74</v>
      </c>
      <c r="D283" s="26" t="n">
        <v>480</v>
      </c>
      <c r="E283" s="26" t="n">
        <v>12</v>
      </c>
      <c r="F283" s="26" t="n">
        <v>3377</v>
      </c>
      <c r="G283" s="26" t="n">
        <v>3290</v>
      </c>
      <c r="H283" s="19" t="n">
        <f aca="false">SUMIFS(Paradas!$E$2:$E$1973,Paradas!$A$2:$A$1973,A283,Paradas!$B$2:$B$1973,B283,Paradas!$C$2:$C$1973,C283)</f>
        <v>133</v>
      </c>
      <c r="I283" s="19" t="n">
        <f aca="false">D283-H283</f>
        <v>347</v>
      </c>
      <c r="J283" s="19" t="n">
        <f aca="false">I283*E283</f>
        <v>4164</v>
      </c>
      <c r="K283" s="16" t="n">
        <f aca="false">IF(D283=0,0,I283/D283)</f>
        <v>0.722916666666667</v>
      </c>
      <c r="L283" s="16" t="n">
        <f aca="false">IF(J283=0,0,F283/J283)</f>
        <v>0.810999039385207</v>
      </c>
      <c r="M283" s="16" t="n">
        <f aca="false">IF(F283=0,0,G283/F283)</f>
        <v>0.974237488895469</v>
      </c>
      <c r="N283" s="16" t="n">
        <f aca="false">K283*L283*M283</f>
        <v>0.571180555555556</v>
      </c>
      <c r="O283" s="19" t="n">
        <f aca="false">MONTH(A283)</f>
        <v>8</v>
      </c>
      <c r="P283" s="19" t="n">
        <f aca="false">INT((A283-DATE(2026,7,1))/7)+1</f>
        <v>5</v>
      </c>
    </row>
    <row r="284" customFormat="false" ht="15" hidden="false" customHeight="false" outlineLevel="0" collapsed="false">
      <c r="A284" s="25" t="n">
        <v>46235</v>
      </c>
      <c r="B284" s="26" t="s">
        <v>17</v>
      </c>
      <c r="C284" s="26" t="s">
        <v>72</v>
      </c>
      <c r="D284" s="26" t="n">
        <v>480</v>
      </c>
      <c r="E284" s="26" t="n">
        <v>10</v>
      </c>
      <c r="F284" s="26" t="n">
        <v>4095</v>
      </c>
      <c r="G284" s="26" t="n">
        <v>3958</v>
      </c>
      <c r="H284" s="19" t="n">
        <f aca="false">SUMIFS(Paradas!$E$2:$E$1973,Paradas!$A$2:$A$1973,A284,Paradas!$B$2:$B$1973,B284,Paradas!$C$2:$C$1973,C284)</f>
        <v>0</v>
      </c>
      <c r="I284" s="19" t="n">
        <f aca="false">D284-H284</f>
        <v>480</v>
      </c>
      <c r="J284" s="19" t="n">
        <f aca="false">I284*E284</f>
        <v>4800</v>
      </c>
      <c r="K284" s="16" t="n">
        <f aca="false">IF(D284=0,0,I284/D284)</f>
        <v>1</v>
      </c>
      <c r="L284" s="16" t="n">
        <f aca="false">IF(J284=0,0,F284/J284)</f>
        <v>0.853125</v>
      </c>
      <c r="M284" s="16" t="n">
        <f aca="false">IF(F284=0,0,G284/F284)</f>
        <v>0.966544566544567</v>
      </c>
      <c r="N284" s="16" t="n">
        <f aca="false">K284*L284*M284</f>
        <v>0.824583333333333</v>
      </c>
      <c r="O284" s="19" t="n">
        <f aca="false">MONTH(A284)</f>
        <v>8</v>
      </c>
      <c r="P284" s="19" t="n">
        <f aca="false">INT((A284-DATE(2026,7,1))/7)+1</f>
        <v>5</v>
      </c>
    </row>
    <row r="285" customFormat="false" ht="15" hidden="false" customHeight="false" outlineLevel="0" collapsed="false">
      <c r="A285" s="25" t="n">
        <v>46235</v>
      </c>
      <c r="B285" s="26" t="s">
        <v>17</v>
      </c>
      <c r="C285" s="26" t="s">
        <v>73</v>
      </c>
      <c r="D285" s="26" t="n">
        <v>480</v>
      </c>
      <c r="E285" s="26" t="n">
        <v>10</v>
      </c>
      <c r="F285" s="26" t="n">
        <v>4017</v>
      </c>
      <c r="G285" s="26" t="n">
        <v>3839</v>
      </c>
      <c r="H285" s="19" t="n">
        <f aca="false">SUMIFS(Paradas!$E$2:$E$1973,Paradas!$A$2:$A$1973,A285,Paradas!$B$2:$B$1973,B285,Paradas!$C$2:$C$1973,C285)</f>
        <v>22</v>
      </c>
      <c r="I285" s="19" t="n">
        <f aca="false">D285-H285</f>
        <v>458</v>
      </c>
      <c r="J285" s="19" t="n">
        <f aca="false">I285*E285</f>
        <v>4580</v>
      </c>
      <c r="K285" s="16" t="n">
        <f aca="false">IF(D285=0,0,I285/D285)</f>
        <v>0.954166666666667</v>
      </c>
      <c r="L285" s="16" t="n">
        <f aca="false">IF(J285=0,0,F285/J285)</f>
        <v>0.87707423580786</v>
      </c>
      <c r="M285" s="16" t="n">
        <f aca="false">IF(F285=0,0,G285/F285)</f>
        <v>0.955688324620364</v>
      </c>
      <c r="N285" s="16" t="n">
        <f aca="false">K285*L285*M285</f>
        <v>0.799791666666667</v>
      </c>
      <c r="O285" s="19" t="n">
        <f aca="false">MONTH(A285)</f>
        <v>8</v>
      </c>
      <c r="P285" s="19" t="n">
        <f aca="false">INT((A285-DATE(2026,7,1))/7)+1</f>
        <v>5</v>
      </c>
    </row>
    <row r="286" customFormat="false" ht="15" hidden="false" customHeight="false" outlineLevel="0" collapsed="false">
      <c r="A286" s="25" t="n">
        <v>46235</v>
      </c>
      <c r="B286" s="26" t="s">
        <v>17</v>
      </c>
      <c r="C286" s="26" t="s">
        <v>74</v>
      </c>
      <c r="D286" s="26" t="n">
        <v>480</v>
      </c>
      <c r="E286" s="26" t="n">
        <v>10</v>
      </c>
      <c r="F286" s="26" t="n">
        <v>3099</v>
      </c>
      <c r="G286" s="26" t="n">
        <v>3025</v>
      </c>
      <c r="H286" s="19" t="n">
        <f aca="false">SUMIFS(Paradas!$E$2:$E$1973,Paradas!$A$2:$A$1973,A286,Paradas!$B$2:$B$1973,B286,Paradas!$C$2:$C$1973,C286)</f>
        <v>129</v>
      </c>
      <c r="I286" s="19" t="n">
        <f aca="false">D286-H286</f>
        <v>351</v>
      </c>
      <c r="J286" s="19" t="n">
        <f aca="false">I286*E286</f>
        <v>3510</v>
      </c>
      <c r="K286" s="16" t="n">
        <f aca="false">IF(D286=0,0,I286/D286)</f>
        <v>0.73125</v>
      </c>
      <c r="L286" s="16" t="n">
        <f aca="false">IF(J286=0,0,F286/J286)</f>
        <v>0.882905982905983</v>
      </c>
      <c r="M286" s="16" t="n">
        <f aca="false">IF(F286=0,0,G286/F286)</f>
        <v>0.976121329461117</v>
      </c>
      <c r="N286" s="16" t="n">
        <f aca="false">K286*L286*M286</f>
        <v>0.630208333333333</v>
      </c>
      <c r="O286" s="19" t="n">
        <f aca="false">MONTH(A286)</f>
        <v>8</v>
      </c>
      <c r="P286" s="19" t="n">
        <f aca="false">INT((A286-DATE(2026,7,1))/7)+1</f>
        <v>5</v>
      </c>
    </row>
    <row r="287" customFormat="false" ht="15" hidden="false" customHeight="false" outlineLevel="0" collapsed="false">
      <c r="A287" s="25" t="n">
        <v>46235</v>
      </c>
      <c r="B287" s="26" t="s">
        <v>18</v>
      </c>
      <c r="C287" s="26" t="s">
        <v>72</v>
      </c>
      <c r="D287" s="26" t="n">
        <v>480</v>
      </c>
      <c r="E287" s="26" t="n">
        <v>8</v>
      </c>
      <c r="F287" s="26" t="n">
        <v>2765</v>
      </c>
      <c r="G287" s="26" t="n">
        <v>2669</v>
      </c>
      <c r="H287" s="19" t="n">
        <f aca="false">SUMIFS(Paradas!$E$2:$E$1973,Paradas!$A$2:$A$1973,A287,Paradas!$B$2:$B$1973,B287,Paradas!$C$2:$C$1973,C287)</f>
        <v>83</v>
      </c>
      <c r="I287" s="19" t="n">
        <f aca="false">D287-H287</f>
        <v>397</v>
      </c>
      <c r="J287" s="19" t="n">
        <f aca="false">I287*E287</f>
        <v>3176</v>
      </c>
      <c r="K287" s="16" t="n">
        <f aca="false">IF(D287=0,0,I287/D287)</f>
        <v>0.827083333333333</v>
      </c>
      <c r="L287" s="16" t="n">
        <f aca="false">IF(J287=0,0,F287/J287)</f>
        <v>0.8705919395466</v>
      </c>
      <c r="M287" s="16" t="n">
        <f aca="false">IF(F287=0,0,G287/F287)</f>
        <v>0.965280289330922</v>
      </c>
      <c r="N287" s="16" t="n">
        <f aca="false">K287*L287*M287</f>
        <v>0.695052083333333</v>
      </c>
      <c r="O287" s="19" t="n">
        <f aca="false">MONTH(A287)</f>
        <v>8</v>
      </c>
      <c r="P287" s="19" t="n">
        <f aca="false">INT((A287-DATE(2026,7,1))/7)+1</f>
        <v>5</v>
      </c>
    </row>
    <row r="288" customFormat="false" ht="15" hidden="false" customHeight="false" outlineLevel="0" collapsed="false">
      <c r="A288" s="25" t="n">
        <v>46235</v>
      </c>
      <c r="B288" s="26" t="s">
        <v>18</v>
      </c>
      <c r="C288" s="26" t="s">
        <v>73</v>
      </c>
      <c r="D288" s="26" t="n">
        <v>480</v>
      </c>
      <c r="E288" s="26" t="n">
        <v>8</v>
      </c>
      <c r="F288" s="26" t="n">
        <v>2791</v>
      </c>
      <c r="G288" s="26" t="n">
        <v>2672</v>
      </c>
      <c r="H288" s="19" t="n">
        <f aca="false">SUMIFS(Paradas!$E$2:$E$1973,Paradas!$A$2:$A$1973,A288,Paradas!$B$2:$B$1973,B288,Paradas!$C$2:$C$1973,C288)</f>
        <v>91</v>
      </c>
      <c r="I288" s="19" t="n">
        <f aca="false">D288-H288</f>
        <v>389</v>
      </c>
      <c r="J288" s="19" t="n">
        <f aca="false">I288*E288</f>
        <v>3112</v>
      </c>
      <c r="K288" s="16" t="n">
        <f aca="false">IF(D288=0,0,I288/D288)</f>
        <v>0.810416666666667</v>
      </c>
      <c r="L288" s="16" t="n">
        <f aca="false">IF(J288=0,0,F288/J288)</f>
        <v>0.896850899742931</v>
      </c>
      <c r="M288" s="16" t="n">
        <f aca="false">IF(F288=0,0,G288/F288)</f>
        <v>0.957362952346829</v>
      </c>
      <c r="N288" s="16" t="n">
        <f aca="false">K288*L288*M288</f>
        <v>0.695833333333333</v>
      </c>
      <c r="O288" s="19" t="n">
        <f aca="false">MONTH(A288)</f>
        <v>8</v>
      </c>
      <c r="P288" s="19" t="n">
        <f aca="false">INT((A288-DATE(2026,7,1))/7)+1</f>
        <v>5</v>
      </c>
    </row>
    <row r="289" customFormat="false" ht="15" hidden="false" customHeight="false" outlineLevel="0" collapsed="false">
      <c r="A289" s="25" t="n">
        <v>46235</v>
      </c>
      <c r="B289" s="26" t="s">
        <v>18</v>
      </c>
      <c r="C289" s="26" t="s">
        <v>74</v>
      </c>
      <c r="D289" s="26" t="n">
        <v>480</v>
      </c>
      <c r="E289" s="26" t="n">
        <v>8</v>
      </c>
      <c r="F289" s="26" t="n">
        <v>2758</v>
      </c>
      <c r="G289" s="26" t="n">
        <v>2697</v>
      </c>
      <c r="H289" s="19" t="n">
        <f aca="false">SUMIFS(Paradas!$E$2:$E$1973,Paradas!$A$2:$A$1973,A289,Paradas!$B$2:$B$1973,B289,Paradas!$C$2:$C$1973,C289)</f>
        <v>83</v>
      </c>
      <c r="I289" s="19" t="n">
        <f aca="false">D289-H289</f>
        <v>397</v>
      </c>
      <c r="J289" s="19" t="n">
        <f aca="false">I289*E289</f>
        <v>3176</v>
      </c>
      <c r="K289" s="16" t="n">
        <f aca="false">IF(D289=0,0,I289/D289)</f>
        <v>0.827083333333333</v>
      </c>
      <c r="L289" s="16" t="n">
        <f aca="false">IF(J289=0,0,F289/J289)</f>
        <v>0.868387909319899</v>
      </c>
      <c r="M289" s="16" t="n">
        <f aca="false">IF(F289=0,0,G289/F289)</f>
        <v>0.977882523567803</v>
      </c>
      <c r="N289" s="16" t="n">
        <f aca="false">K289*L289*M289</f>
        <v>0.70234375</v>
      </c>
      <c r="O289" s="19" t="n">
        <f aca="false">MONTH(A289)</f>
        <v>8</v>
      </c>
      <c r="P289" s="19" t="n">
        <f aca="false">INT((A289-DATE(2026,7,1))/7)+1</f>
        <v>5</v>
      </c>
    </row>
    <row r="290" customFormat="false" ht="15" hidden="false" customHeight="false" outlineLevel="0" collapsed="false">
      <c r="A290" s="25" t="n">
        <v>46236</v>
      </c>
      <c r="B290" s="26" t="s">
        <v>16</v>
      </c>
      <c r="C290" s="26" t="s">
        <v>72</v>
      </c>
      <c r="D290" s="26" t="n">
        <v>480</v>
      </c>
      <c r="E290" s="26" t="n">
        <v>12</v>
      </c>
      <c r="F290" s="26" t="n">
        <v>4941</v>
      </c>
      <c r="G290" s="26" t="n">
        <v>4855</v>
      </c>
      <c r="H290" s="19" t="n">
        <f aca="false">SUMIFS(Paradas!$E$2:$E$1973,Paradas!$A$2:$A$1973,A290,Paradas!$B$2:$B$1973,B290,Paradas!$C$2:$C$1973,C290)</f>
        <v>39</v>
      </c>
      <c r="I290" s="19" t="n">
        <f aca="false">D290-H290</f>
        <v>441</v>
      </c>
      <c r="J290" s="19" t="n">
        <f aca="false">I290*E290</f>
        <v>5292</v>
      </c>
      <c r="K290" s="16" t="n">
        <f aca="false">IF(D290=0,0,I290/D290)</f>
        <v>0.91875</v>
      </c>
      <c r="L290" s="16" t="n">
        <f aca="false">IF(J290=0,0,F290/J290)</f>
        <v>0.933673469387755</v>
      </c>
      <c r="M290" s="16" t="n">
        <f aca="false">IF(F290=0,0,G290/F290)</f>
        <v>0.982594616474398</v>
      </c>
      <c r="N290" s="16" t="n">
        <f aca="false">K290*L290*M290</f>
        <v>0.842881944444444</v>
      </c>
      <c r="O290" s="19" t="n">
        <f aca="false">MONTH(A290)</f>
        <v>8</v>
      </c>
      <c r="P290" s="19" t="n">
        <f aca="false">INT((A290-DATE(2026,7,1))/7)+1</f>
        <v>5</v>
      </c>
    </row>
    <row r="291" customFormat="false" ht="15" hidden="false" customHeight="false" outlineLevel="0" collapsed="false">
      <c r="A291" s="25" t="n">
        <v>46236</v>
      </c>
      <c r="B291" s="26" t="s">
        <v>16</v>
      </c>
      <c r="C291" s="26" t="s">
        <v>73</v>
      </c>
      <c r="D291" s="26" t="n">
        <v>480</v>
      </c>
      <c r="E291" s="26" t="n">
        <v>12</v>
      </c>
      <c r="F291" s="26" t="n">
        <v>4948</v>
      </c>
      <c r="G291" s="26" t="n">
        <v>4929</v>
      </c>
      <c r="H291" s="19" t="n">
        <f aca="false">SUMIFS(Paradas!$E$2:$E$1973,Paradas!$A$2:$A$1973,A291,Paradas!$B$2:$B$1973,B291,Paradas!$C$2:$C$1973,C291)</f>
        <v>0</v>
      </c>
      <c r="I291" s="19" t="n">
        <f aca="false">D291-H291</f>
        <v>480</v>
      </c>
      <c r="J291" s="19" t="n">
        <f aca="false">I291*E291</f>
        <v>5760</v>
      </c>
      <c r="K291" s="16" t="n">
        <f aca="false">IF(D291=0,0,I291/D291)</f>
        <v>1</v>
      </c>
      <c r="L291" s="16" t="n">
        <f aca="false">IF(J291=0,0,F291/J291)</f>
        <v>0.859027777777778</v>
      </c>
      <c r="M291" s="16" t="n">
        <f aca="false">IF(F291=0,0,G291/F291)</f>
        <v>0.996160064672595</v>
      </c>
      <c r="N291" s="16" t="n">
        <f aca="false">K291*L291*M291</f>
        <v>0.855729166666667</v>
      </c>
      <c r="O291" s="19" t="n">
        <f aca="false">MONTH(A291)</f>
        <v>8</v>
      </c>
      <c r="P291" s="19" t="n">
        <f aca="false">INT((A291-DATE(2026,7,1))/7)+1</f>
        <v>5</v>
      </c>
    </row>
    <row r="292" customFormat="false" ht="15" hidden="false" customHeight="false" outlineLevel="0" collapsed="false">
      <c r="A292" s="25" t="n">
        <v>46236</v>
      </c>
      <c r="B292" s="26" t="s">
        <v>16</v>
      </c>
      <c r="C292" s="26" t="s">
        <v>74</v>
      </c>
      <c r="D292" s="26" t="n">
        <v>480</v>
      </c>
      <c r="E292" s="26" t="n">
        <v>12</v>
      </c>
      <c r="F292" s="26" t="n">
        <v>4336</v>
      </c>
      <c r="G292" s="26" t="n">
        <v>4141</v>
      </c>
      <c r="H292" s="19" t="n">
        <f aca="false">SUMIFS(Paradas!$E$2:$E$1973,Paradas!$A$2:$A$1973,A292,Paradas!$B$2:$B$1973,B292,Paradas!$C$2:$C$1973,C292)</f>
        <v>20</v>
      </c>
      <c r="I292" s="19" t="n">
        <f aca="false">D292-H292</f>
        <v>460</v>
      </c>
      <c r="J292" s="19" t="n">
        <f aca="false">I292*E292</f>
        <v>5520</v>
      </c>
      <c r="K292" s="16" t="n">
        <f aca="false">IF(D292=0,0,I292/D292)</f>
        <v>0.958333333333333</v>
      </c>
      <c r="L292" s="16" t="n">
        <f aca="false">IF(J292=0,0,F292/J292)</f>
        <v>0.785507246376812</v>
      </c>
      <c r="M292" s="16" t="n">
        <f aca="false">IF(F292=0,0,G292/F292)</f>
        <v>0.955027675276753</v>
      </c>
      <c r="N292" s="16" t="n">
        <f aca="false">K292*L292*M292</f>
        <v>0.718923611111111</v>
      </c>
      <c r="O292" s="19" t="n">
        <f aca="false">MONTH(A292)</f>
        <v>8</v>
      </c>
      <c r="P292" s="19" t="n">
        <f aca="false">INT((A292-DATE(2026,7,1))/7)+1</f>
        <v>5</v>
      </c>
    </row>
    <row r="293" customFormat="false" ht="15" hidden="false" customHeight="false" outlineLevel="0" collapsed="false">
      <c r="A293" s="25" t="n">
        <v>46236</v>
      </c>
      <c r="B293" s="26" t="s">
        <v>17</v>
      </c>
      <c r="C293" s="26" t="s">
        <v>72</v>
      </c>
      <c r="D293" s="26" t="n">
        <v>480</v>
      </c>
      <c r="E293" s="26" t="n">
        <v>10</v>
      </c>
      <c r="F293" s="26" t="n">
        <v>4086</v>
      </c>
      <c r="G293" s="26" t="n">
        <v>3927</v>
      </c>
      <c r="H293" s="19" t="n">
        <f aca="false">SUMIFS(Paradas!$E$2:$E$1973,Paradas!$A$2:$A$1973,A293,Paradas!$B$2:$B$1973,B293,Paradas!$C$2:$C$1973,C293)</f>
        <v>31</v>
      </c>
      <c r="I293" s="19" t="n">
        <f aca="false">D293-H293</f>
        <v>449</v>
      </c>
      <c r="J293" s="19" t="n">
        <f aca="false">I293*E293</f>
        <v>4490</v>
      </c>
      <c r="K293" s="16" t="n">
        <f aca="false">IF(D293=0,0,I293/D293)</f>
        <v>0.935416666666667</v>
      </c>
      <c r="L293" s="16" t="n">
        <f aca="false">IF(J293=0,0,F293/J293)</f>
        <v>0.910022271714922</v>
      </c>
      <c r="M293" s="16" t="n">
        <f aca="false">IF(F293=0,0,G293/F293)</f>
        <v>0.961086637298091</v>
      </c>
      <c r="N293" s="16" t="n">
        <f aca="false">K293*L293*M293</f>
        <v>0.818125</v>
      </c>
      <c r="O293" s="19" t="n">
        <f aca="false">MONTH(A293)</f>
        <v>8</v>
      </c>
      <c r="P293" s="19" t="n">
        <f aca="false">INT((A293-DATE(2026,7,1))/7)+1</f>
        <v>5</v>
      </c>
    </row>
    <row r="294" customFormat="false" ht="15" hidden="false" customHeight="false" outlineLevel="0" collapsed="false">
      <c r="A294" s="25" t="n">
        <v>46236</v>
      </c>
      <c r="B294" s="26" t="s">
        <v>17</v>
      </c>
      <c r="C294" s="26" t="s">
        <v>73</v>
      </c>
      <c r="D294" s="26" t="n">
        <v>480</v>
      </c>
      <c r="E294" s="26" t="n">
        <v>10</v>
      </c>
      <c r="F294" s="26" t="n">
        <v>2964</v>
      </c>
      <c r="G294" s="26" t="n">
        <v>2807</v>
      </c>
      <c r="H294" s="19" t="n">
        <f aca="false">SUMIFS(Paradas!$E$2:$E$1973,Paradas!$A$2:$A$1973,A294,Paradas!$B$2:$B$1973,B294,Paradas!$C$2:$C$1973,C294)</f>
        <v>163</v>
      </c>
      <c r="I294" s="19" t="n">
        <f aca="false">D294-H294</f>
        <v>317</v>
      </c>
      <c r="J294" s="19" t="n">
        <f aca="false">I294*E294</f>
        <v>3170</v>
      </c>
      <c r="K294" s="16" t="n">
        <f aca="false">IF(D294=0,0,I294/D294)</f>
        <v>0.660416666666667</v>
      </c>
      <c r="L294" s="16" t="n">
        <f aca="false">IF(J294=0,0,F294/J294)</f>
        <v>0.935015772870663</v>
      </c>
      <c r="M294" s="16" t="n">
        <f aca="false">IF(F294=0,0,G294/F294)</f>
        <v>0.947031039136302</v>
      </c>
      <c r="N294" s="16" t="n">
        <f aca="false">K294*L294*M294</f>
        <v>0.584791666666667</v>
      </c>
      <c r="O294" s="19" t="n">
        <f aca="false">MONTH(A294)</f>
        <v>8</v>
      </c>
      <c r="P294" s="19" t="n">
        <f aca="false">INT((A294-DATE(2026,7,1))/7)+1</f>
        <v>5</v>
      </c>
    </row>
    <row r="295" customFormat="false" ht="15" hidden="false" customHeight="false" outlineLevel="0" collapsed="false">
      <c r="A295" s="25" t="n">
        <v>46236</v>
      </c>
      <c r="B295" s="26" t="s">
        <v>17</v>
      </c>
      <c r="C295" s="26" t="s">
        <v>74</v>
      </c>
      <c r="D295" s="26" t="n">
        <v>480</v>
      </c>
      <c r="E295" s="26" t="n">
        <v>10</v>
      </c>
      <c r="F295" s="26" t="n">
        <v>3036</v>
      </c>
      <c r="G295" s="26" t="n">
        <v>2942</v>
      </c>
      <c r="H295" s="19" t="n">
        <f aca="false">SUMIFS(Paradas!$E$2:$E$1973,Paradas!$A$2:$A$1973,A295,Paradas!$B$2:$B$1973,B295,Paradas!$C$2:$C$1973,C295)</f>
        <v>116</v>
      </c>
      <c r="I295" s="19" t="n">
        <f aca="false">D295-H295</f>
        <v>364</v>
      </c>
      <c r="J295" s="19" t="n">
        <f aca="false">I295*E295</f>
        <v>3640</v>
      </c>
      <c r="K295" s="16" t="n">
        <f aca="false">IF(D295=0,0,I295/D295)</f>
        <v>0.758333333333333</v>
      </c>
      <c r="L295" s="16" t="n">
        <f aca="false">IF(J295=0,0,F295/J295)</f>
        <v>0.834065934065934</v>
      </c>
      <c r="M295" s="16" t="n">
        <f aca="false">IF(F295=0,0,G295/F295)</f>
        <v>0.969038208168643</v>
      </c>
      <c r="N295" s="16" t="n">
        <f aca="false">K295*L295*M295</f>
        <v>0.612916666666667</v>
      </c>
      <c r="O295" s="19" t="n">
        <f aca="false">MONTH(A295)</f>
        <v>8</v>
      </c>
      <c r="P295" s="19" t="n">
        <f aca="false">INT((A295-DATE(2026,7,1))/7)+1</f>
        <v>5</v>
      </c>
    </row>
    <row r="296" customFormat="false" ht="15" hidden="false" customHeight="false" outlineLevel="0" collapsed="false">
      <c r="A296" s="25" t="n">
        <v>46236</v>
      </c>
      <c r="B296" s="26" t="s">
        <v>18</v>
      </c>
      <c r="C296" s="26" t="s">
        <v>72</v>
      </c>
      <c r="D296" s="26" t="n">
        <v>480</v>
      </c>
      <c r="E296" s="26" t="n">
        <v>8</v>
      </c>
      <c r="F296" s="26" t="n">
        <v>2665</v>
      </c>
      <c r="G296" s="26" t="n">
        <v>2593</v>
      </c>
      <c r="H296" s="19" t="n">
        <f aca="false">SUMIFS(Paradas!$E$2:$E$1973,Paradas!$A$2:$A$1973,A296,Paradas!$B$2:$B$1973,B296,Paradas!$C$2:$C$1973,C296)</f>
        <v>92</v>
      </c>
      <c r="I296" s="19" t="n">
        <f aca="false">D296-H296</f>
        <v>388</v>
      </c>
      <c r="J296" s="19" t="n">
        <f aca="false">I296*E296</f>
        <v>3104</v>
      </c>
      <c r="K296" s="16" t="n">
        <f aca="false">IF(D296=0,0,I296/D296)</f>
        <v>0.808333333333333</v>
      </c>
      <c r="L296" s="16" t="n">
        <f aca="false">IF(J296=0,0,F296/J296)</f>
        <v>0.858569587628866</v>
      </c>
      <c r="M296" s="16" t="n">
        <f aca="false">IF(F296=0,0,G296/F296)</f>
        <v>0.972983114446529</v>
      </c>
      <c r="N296" s="16" t="n">
        <f aca="false">K296*L296*M296</f>
        <v>0.675260416666667</v>
      </c>
      <c r="O296" s="19" t="n">
        <f aca="false">MONTH(A296)</f>
        <v>8</v>
      </c>
      <c r="P296" s="19" t="n">
        <f aca="false">INT((A296-DATE(2026,7,1))/7)+1</f>
        <v>5</v>
      </c>
    </row>
    <row r="297" customFormat="false" ht="15" hidden="false" customHeight="false" outlineLevel="0" collapsed="false">
      <c r="A297" s="25" t="n">
        <v>46236</v>
      </c>
      <c r="B297" s="26" t="s">
        <v>18</v>
      </c>
      <c r="C297" s="26" t="s">
        <v>73</v>
      </c>
      <c r="D297" s="26" t="n">
        <v>480</v>
      </c>
      <c r="E297" s="26" t="n">
        <v>8</v>
      </c>
      <c r="F297" s="26" t="n">
        <v>2995</v>
      </c>
      <c r="G297" s="26" t="n">
        <v>2907</v>
      </c>
      <c r="H297" s="19" t="n">
        <f aca="false">SUMIFS(Paradas!$E$2:$E$1973,Paradas!$A$2:$A$1973,A297,Paradas!$B$2:$B$1973,B297,Paradas!$C$2:$C$1973,C297)</f>
        <v>53</v>
      </c>
      <c r="I297" s="19" t="n">
        <f aca="false">D297-H297</f>
        <v>427</v>
      </c>
      <c r="J297" s="19" t="n">
        <f aca="false">I297*E297</f>
        <v>3416</v>
      </c>
      <c r="K297" s="16" t="n">
        <f aca="false">IF(D297=0,0,I297/D297)</f>
        <v>0.889583333333333</v>
      </c>
      <c r="L297" s="16" t="n">
        <f aca="false">IF(J297=0,0,F297/J297)</f>
        <v>0.87675644028103</v>
      </c>
      <c r="M297" s="16" t="n">
        <f aca="false">IF(F297=0,0,G297/F297)</f>
        <v>0.970617696160267</v>
      </c>
      <c r="N297" s="16" t="n">
        <f aca="false">K297*L297*M297</f>
        <v>0.75703125</v>
      </c>
      <c r="O297" s="19" t="n">
        <f aca="false">MONTH(A297)</f>
        <v>8</v>
      </c>
      <c r="P297" s="19" t="n">
        <f aca="false">INT((A297-DATE(2026,7,1))/7)+1</f>
        <v>5</v>
      </c>
    </row>
    <row r="298" customFormat="false" ht="15" hidden="false" customHeight="false" outlineLevel="0" collapsed="false">
      <c r="A298" s="25" t="n">
        <v>46236</v>
      </c>
      <c r="B298" s="26" t="s">
        <v>18</v>
      </c>
      <c r="C298" s="26" t="s">
        <v>74</v>
      </c>
      <c r="D298" s="26" t="n">
        <v>480</v>
      </c>
      <c r="E298" s="26" t="n">
        <v>8</v>
      </c>
      <c r="F298" s="26" t="n">
        <v>2410</v>
      </c>
      <c r="G298" s="26" t="n">
        <v>2329</v>
      </c>
      <c r="H298" s="19" t="n">
        <f aca="false">SUMIFS(Paradas!$E$2:$E$1973,Paradas!$A$2:$A$1973,A298,Paradas!$B$2:$B$1973,B298,Paradas!$C$2:$C$1973,C298)</f>
        <v>128</v>
      </c>
      <c r="I298" s="19" t="n">
        <f aca="false">D298-H298</f>
        <v>352</v>
      </c>
      <c r="J298" s="19" t="n">
        <f aca="false">I298*E298</f>
        <v>2816</v>
      </c>
      <c r="K298" s="16" t="n">
        <f aca="false">IF(D298=0,0,I298/D298)</f>
        <v>0.733333333333333</v>
      </c>
      <c r="L298" s="16" t="n">
        <f aca="false">IF(J298=0,0,F298/J298)</f>
        <v>0.855823863636364</v>
      </c>
      <c r="M298" s="16" t="n">
        <f aca="false">IF(F298=0,0,G298/F298)</f>
        <v>0.966390041493776</v>
      </c>
      <c r="N298" s="16" t="n">
        <f aca="false">K298*L298*M298</f>
        <v>0.606510416666667</v>
      </c>
      <c r="O298" s="19" t="n">
        <f aca="false">MONTH(A298)</f>
        <v>8</v>
      </c>
      <c r="P298" s="19" t="n">
        <f aca="false">INT((A298-DATE(2026,7,1))/7)+1</f>
        <v>5</v>
      </c>
    </row>
    <row r="299" customFormat="false" ht="15" hidden="false" customHeight="false" outlineLevel="0" collapsed="false">
      <c r="A299" s="25" t="n">
        <v>46237</v>
      </c>
      <c r="B299" s="26" t="s">
        <v>16</v>
      </c>
      <c r="C299" s="26" t="s">
        <v>72</v>
      </c>
      <c r="D299" s="26" t="n">
        <v>480</v>
      </c>
      <c r="E299" s="26" t="n">
        <v>12</v>
      </c>
      <c r="F299" s="26" t="n">
        <v>5151</v>
      </c>
      <c r="G299" s="26" t="n">
        <v>5019</v>
      </c>
      <c r="H299" s="19" t="n">
        <f aca="false">SUMIFS(Paradas!$E$2:$E$1973,Paradas!$A$2:$A$1973,A299,Paradas!$B$2:$B$1973,B299,Paradas!$C$2:$C$1973,C299)</f>
        <v>40</v>
      </c>
      <c r="I299" s="19" t="n">
        <f aca="false">D299-H299</f>
        <v>440</v>
      </c>
      <c r="J299" s="19" t="n">
        <f aca="false">I299*E299</f>
        <v>5280</v>
      </c>
      <c r="K299" s="16" t="n">
        <f aca="false">IF(D299=0,0,I299/D299)</f>
        <v>0.916666666666667</v>
      </c>
      <c r="L299" s="16" t="n">
        <f aca="false">IF(J299=0,0,F299/J299)</f>
        <v>0.975568181818182</v>
      </c>
      <c r="M299" s="16" t="n">
        <f aca="false">IF(F299=0,0,G299/F299)</f>
        <v>0.974373907979033</v>
      </c>
      <c r="N299" s="16" t="n">
        <f aca="false">K299*L299*M299</f>
        <v>0.871354166666667</v>
      </c>
      <c r="O299" s="19" t="n">
        <f aca="false">MONTH(A299)</f>
        <v>8</v>
      </c>
      <c r="P299" s="19" t="n">
        <f aca="false">INT((A299-DATE(2026,7,1))/7)+1</f>
        <v>5</v>
      </c>
    </row>
    <row r="300" customFormat="false" ht="15" hidden="false" customHeight="false" outlineLevel="0" collapsed="false">
      <c r="A300" s="25" t="n">
        <v>46237</v>
      </c>
      <c r="B300" s="26" t="s">
        <v>16</v>
      </c>
      <c r="C300" s="26" t="s">
        <v>73</v>
      </c>
      <c r="D300" s="26" t="n">
        <v>480</v>
      </c>
      <c r="E300" s="26" t="n">
        <v>12</v>
      </c>
      <c r="F300" s="26" t="n">
        <v>3358</v>
      </c>
      <c r="G300" s="26" t="n">
        <v>3263</v>
      </c>
      <c r="H300" s="19" t="n">
        <f aca="false">SUMIFS(Paradas!$E$2:$E$1973,Paradas!$A$2:$A$1973,A300,Paradas!$B$2:$B$1973,B300,Paradas!$C$2:$C$1973,C300)</f>
        <v>173</v>
      </c>
      <c r="I300" s="19" t="n">
        <f aca="false">D300-H300</f>
        <v>307</v>
      </c>
      <c r="J300" s="19" t="n">
        <f aca="false">I300*E300</f>
        <v>3684</v>
      </c>
      <c r="K300" s="16" t="n">
        <f aca="false">IF(D300=0,0,I300/D300)</f>
        <v>0.639583333333333</v>
      </c>
      <c r="L300" s="16" t="n">
        <f aca="false">IF(J300=0,0,F300/J300)</f>
        <v>0.911509229098806</v>
      </c>
      <c r="M300" s="16" t="n">
        <f aca="false">IF(F300=0,0,G300/F300)</f>
        <v>0.97170935080405</v>
      </c>
      <c r="N300" s="16" t="n">
        <f aca="false">K300*L300*M300</f>
        <v>0.566493055555556</v>
      </c>
      <c r="O300" s="19" t="n">
        <f aca="false">MONTH(A300)</f>
        <v>8</v>
      </c>
      <c r="P300" s="19" t="n">
        <f aca="false">INT((A300-DATE(2026,7,1))/7)+1</f>
        <v>5</v>
      </c>
    </row>
    <row r="301" customFormat="false" ht="15" hidden="false" customHeight="false" outlineLevel="0" collapsed="false">
      <c r="A301" s="25" t="n">
        <v>46237</v>
      </c>
      <c r="B301" s="26" t="s">
        <v>16</v>
      </c>
      <c r="C301" s="26" t="s">
        <v>74</v>
      </c>
      <c r="D301" s="26" t="n">
        <v>480</v>
      </c>
      <c r="E301" s="26" t="n">
        <v>12</v>
      </c>
      <c r="F301" s="26" t="n">
        <v>4703</v>
      </c>
      <c r="G301" s="26" t="n">
        <v>4587</v>
      </c>
      <c r="H301" s="19" t="n">
        <f aca="false">SUMIFS(Paradas!$E$2:$E$1973,Paradas!$A$2:$A$1973,A301,Paradas!$B$2:$B$1973,B301,Paradas!$C$2:$C$1973,C301)</f>
        <v>0</v>
      </c>
      <c r="I301" s="19" t="n">
        <f aca="false">D301-H301</f>
        <v>480</v>
      </c>
      <c r="J301" s="19" t="n">
        <f aca="false">I301*E301</f>
        <v>5760</v>
      </c>
      <c r="K301" s="16" t="n">
        <f aca="false">IF(D301=0,0,I301/D301)</f>
        <v>1</v>
      </c>
      <c r="L301" s="16" t="n">
        <f aca="false">IF(J301=0,0,F301/J301)</f>
        <v>0.816493055555556</v>
      </c>
      <c r="M301" s="16" t="n">
        <f aca="false">IF(F301=0,0,G301/F301)</f>
        <v>0.975334892621731</v>
      </c>
      <c r="N301" s="16" t="n">
        <f aca="false">K301*L301*M301</f>
        <v>0.796354166666667</v>
      </c>
      <c r="O301" s="19" t="n">
        <f aca="false">MONTH(A301)</f>
        <v>8</v>
      </c>
      <c r="P301" s="19" t="n">
        <f aca="false">INT((A301-DATE(2026,7,1))/7)+1</f>
        <v>5</v>
      </c>
    </row>
    <row r="302" customFormat="false" ht="15" hidden="false" customHeight="false" outlineLevel="0" collapsed="false">
      <c r="A302" s="25" t="n">
        <v>46237</v>
      </c>
      <c r="B302" s="26" t="s">
        <v>17</v>
      </c>
      <c r="C302" s="26" t="s">
        <v>72</v>
      </c>
      <c r="D302" s="26" t="n">
        <v>480</v>
      </c>
      <c r="E302" s="26" t="n">
        <v>10</v>
      </c>
      <c r="F302" s="26" t="n">
        <v>3688</v>
      </c>
      <c r="G302" s="26" t="n">
        <v>3640</v>
      </c>
      <c r="H302" s="19" t="n">
        <f aca="false">SUMIFS(Paradas!$E$2:$E$1973,Paradas!$A$2:$A$1973,A302,Paradas!$B$2:$B$1973,B302,Paradas!$C$2:$C$1973,C302)</f>
        <v>69</v>
      </c>
      <c r="I302" s="19" t="n">
        <f aca="false">D302-H302</f>
        <v>411</v>
      </c>
      <c r="J302" s="19" t="n">
        <f aca="false">I302*E302</f>
        <v>4110</v>
      </c>
      <c r="K302" s="16" t="n">
        <f aca="false">IF(D302=0,0,I302/D302)</f>
        <v>0.85625</v>
      </c>
      <c r="L302" s="16" t="n">
        <f aca="false">IF(J302=0,0,F302/J302)</f>
        <v>0.897323600973236</v>
      </c>
      <c r="M302" s="16" t="n">
        <f aca="false">IF(F302=0,0,G302/F302)</f>
        <v>0.986984815618221</v>
      </c>
      <c r="N302" s="16" t="n">
        <f aca="false">K302*L302*M302</f>
        <v>0.758333333333333</v>
      </c>
      <c r="O302" s="19" t="n">
        <f aca="false">MONTH(A302)</f>
        <v>8</v>
      </c>
      <c r="P302" s="19" t="n">
        <f aca="false">INT((A302-DATE(2026,7,1))/7)+1</f>
        <v>5</v>
      </c>
    </row>
    <row r="303" customFormat="false" ht="15" hidden="false" customHeight="false" outlineLevel="0" collapsed="false">
      <c r="A303" s="25" t="n">
        <v>46237</v>
      </c>
      <c r="B303" s="26" t="s">
        <v>17</v>
      </c>
      <c r="C303" s="26" t="s">
        <v>73</v>
      </c>
      <c r="D303" s="26" t="n">
        <v>480</v>
      </c>
      <c r="E303" s="26" t="n">
        <v>10</v>
      </c>
      <c r="F303" s="26" t="n">
        <v>3720</v>
      </c>
      <c r="G303" s="26" t="n">
        <v>3458</v>
      </c>
      <c r="H303" s="19" t="n">
        <f aca="false">SUMIFS(Paradas!$E$2:$E$1973,Paradas!$A$2:$A$1973,A303,Paradas!$B$2:$B$1973,B303,Paradas!$C$2:$C$1973,C303)</f>
        <v>78</v>
      </c>
      <c r="I303" s="19" t="n">
        <f aca="false">D303-H303</f>
        <v>402</v>
      </c>
      <c r="J303" s="19" t="n">
        <f aca="false">I303*E303</f>
        <v>4020</v>
      </c>
      <c r="K303" s="16" t="n">
        <f aca="false">IF(D303=0,0,I303/D303)</f>
        <v>0.8375</v>
      </c>
      <c r="L303" s="16" t="n">
        <f aca="false">IF(J303=0,0,F303/J303)</f>
        <v>0.925373134328358</v>
      </c>
      <c r="M303" s="16" t="n">
        <f aca="false">IF(F303=0,0,G303/F303)</f>
        <v>0.929569892473118</v>
      </c>
      <c r="N303" s="16" t="n">
        <f aca="false">K303*L303*M303</f>
        <v>0.720416666666667</v>
      </c>
      <c r="O303" s="19" t="n">
        <f aca="false">MONTH(A303)</f>
        <v>8</v>
      </c>
      <c r="P303" s="19" t="n">
        <f aca="false">INT((A303-DATE(2026,7,1))/7)+1</f>
        <v>5</v>
      </c>
    </row>
    <row r="304" customFormat="false" ht="15" hidden="false" customHeight="false" outlineLevel="0" collapsed="false">
      <c r="A304" s="25" t="n">
        <v>46237</v>
      </c>
      <c r="B304" s="26" t="s">
        <v>17</v>
      </c>
      <c r="C304" s="26" t="s">
        <v>74</v>
      </c>
      <c r="D304" s="26" t="n">
        <v>480</v>
      </c>
      <c r="E304" s="26" t="n">
        <v>10</v>
      </c>
      <c r="F304" s="26" t="n">
        <v>3356</v>
      </c>
      <c r="G304" s="26" t="n">
        <v>3229</v>
      </c>
      <c r="H304" s="19" t="n">
        <f aca="false">SUMIFS(Paradas!$E$2:$E$1973,Paradas!$A$2:$A$1973,A304,Paradas!$B$2:$B$1973,B304,Paradas!$C$2:$C$1973,C304)</f>
        <v>106</v>
      </c>
      <c r="I304" s="19" t="n">
        <f aca="false">D304-H304</f>
        <v>374</v>
      </c>
      <c r="J304" s="19" t="n">
        <f aca="false">I304*E304</f>
        <v>3740</v>
      </c>
      <c r="K304" s="16" t="n">
        <f aca="false">IF(D304=0,0,I304/D304)</f>
        <v>0.779166666666667</v>
      </c>
      <c r="L304" s="16" t="n">
        <f aca="false">IF(J304=0,0,F304/J304)</f>
        <v>0.897326203208556</v>
      </c>
      <c r="M304" s="16" t="n">
        <f aca="false">IF(F304=0,0,G304/F304)</f>
        <v>0.962157330154946</v>
      </c>
      <c r="N304" s="16" t="n">
        <f aca="false">K304*L304*M304</f>
        <v>0.672708333333333</v>
      </c>
      <c r="O304" s="19" t="n">
        <f aca="false">MONTH(A304)</f>
        <v>8</v>
      </c>
      <c r="P304" s="19" t="n">
        <f aca="false">INT((A304-DATE(2026,7,1))/7)+1</f>
        <v>5</v>
      </c>
    </row>
    <row r="305" customFormat="false" ht="15" hidden="false" customHeight="false" outlineLevel="0" collapsed="false">
      <c r="A305" s="25" t="n">
        <v>46237</v>
      </c>
      <c r="B305" s="26" t="s">
        <v>18</v>
      </c>
      <c r="C305" s="26" t="s">
        <v>72</v>
      </c>
      <c r="D305" s="26" t="n">
        <v>480</v>
      </c>
      <c r="E305" s="26" t="n">
        <v>8</v>
      </c>
      <c r="F305" s="26" t="n">
        <v>3119</v>
      </c>
      <c r="G305" s="26" t="n">
        <v>3010</v>
      </c>
      <c r="H305" s="19" t="n">
        <f aca="false">SUMIFS(Paradas!$E$2:$E$1973,Paradas!$A$2:$A$1973,A305,Paradas!$B$2:$B$1973,B305,Paradas!$C$2:$C$1973,C305)</f>
        <v>41</v>
      </c>
      <c r="I305" s="19" t="n">
        <f aca="false">D305-H305</f>
        <v>439</v>
      </c>
      <c r="J305" s="19" t="n">
        <f aca="false">I305*E305</f>
        <v>3512</v>
      </c>
      <c r="K305" s="16" t="n">
        <f aca="false">IF(D305=0,0,I305/D305)</f>
        <v>0.914583333333333</v>
      </c>
      <c r="L305" s="16" t="n">
        <f aca="false">IF(J305=0,0,F305/J305)</f>
        <v>0.888097949886105</v>
      </c>
      <c r="M305" s="16" t="n">
        <f aca="false">IF(F305=0,0,G305/F305)</f>
        <v>0.965052901571016</v>
      </c>
      <c r="N305" s="16" t="n">
        <f aca="false">K305*L305*M305</f>
        <v>0.783854166666667</v>
      </c>
      <c r="O305" s="19" t="n">
        <f aca="false">MONTH(A305)</f>
        <v>8</v>
      </c>
      <c r="P305" s="19" t="n">
        <f aca="false">INT((A305-DATE(2026,7,1))/7)+1</f>
        <v>5</v>
      </c>
    </row>
    <row r="306" customFormat="false" ht="15" hidden="false" customHeight="false" outlineLevel="0" collapsed="false">
      <c r="A306" s="25" t="n">
        <v>46237</v>
      </c>
      <c r="B306" s="26" t="s">
        <v>18</v>
      </c>
      <c r="C306" s="26" t="s">
        <v>73</v>
      </c>
      <c r="D306" s="26" t="n">
        <v>480</v>
      </c>
      <c r="E306" s="26" t="n">
        <v>8</v>
      </c>
      <c r="F306" s="26" t="n">
        <v>3233</v>
      </c>
      <c r="G306" s="26" t="n">
        <v>3166</v>
      </c>
      <c r="H306" s="19" t="n">
        <f aca="false">SUMIFS(Paradas!$E$2:$E$1973,Paradas!$A$2:$A$1973,A306,Paradas!$B$2:$B$1973,B306,Paradas!$C$2:$C$1973,C306)</f>
        <v>18</v>
      </c>
      <c r="I306" s="19" t="n">
        <f aca="false">D306-H306</f>
        <v>462</v>
      </c>
      <c r="J306" s="19" t="n">
        <f aca="false">I306*E306</f>
        <v>3696</v>
      </c>
      <c r="K306" s="16" t="n">
        <f aca="false">IF(D306=0,0,I306/D306)</f>
        <v>0.9625</v>
      </c>
      <c r="L306" s="16" t="n">
        <f aca="false">IF(J306=0,0,F306/J306)</f>
        <v>0.874729437229437</v>
      </c>
      <c r="M306" s="16" t="n">
        <f aca="false">IF(F306=0,0,G306/F306)</f>
        <v>0.979276214042685</v>
      </c>
      <c r="N306" s="16" t="n">
        <f aca="false">K306*L306*M306</f>
        <v>0.824479166666667</v>
      </c>
      <c r="O306" s="19" t="n">
        <f aca="false">MONTH(A306)</f>
        <v>8</v>
      </c>
      <c r="P306" s="19" t="n">
        <f aca="false">INT((A306-DATE(2026,7,1))/7)+1</f>
        <v>5</v>
      </c>
    </row>
    <row r="307" customFormat="false" ht="15" hidden="false" customHeight="false" outlineLevel="0" collapsed="false">
      <c r="A307" s="25" t="n">
        <v>46237</v>
      </c>
      <c r="B307" s="26" t="s">
        <v>18</v>
      </c>
      <c r="C307" s="26" t="s">
        <v>74</v>
      </c>
      <c r="D307" s="26" t="n">
        <v>480</v>
      </c>
      <c r="E307" s="26" t="n">
        <v>8</v>
      </c>
      <c r="F307" s="26" t="n">
        <v>2121</v>
      </c>
      <c r="G307" s="26" t="n">
        <v>2056</v>
      </c>
      <c r="H307" s="19" t="n">
        <f aca="false">SUMIFS(Paradas!$E$2:$E$1973,Paradas!$A$2:$A$1973,A307,Paradas!$B$2:$B$1973,B307,Paradas!$C$2:$C$1973,C307)</f>
        <v>179</v>
      </c>
      <c r="I307" s="19" t="n">
        <f aca="false">D307-H307</f>
        <v>301</v>
      </c>
      <c r="J307" s="19" t="n">
        <f aca="false">I307*E307</f>
        <v>2408</v>
      </c>
      <c r="K307" s="16" t="n">
        <f aca="false">IF(D307=0,0,I307/D307)</f>
        <v>0.627083333333333</v>
      </c>
      <c r="L307" s="16" t="n">
        <f aca="false">IF(J307=0,0,F307/J307)</f>
        <v>0.880813953488372</v>
      </c>
      <c r="M307" s="16" t="n">
        <f aca="false">IF(F307=0,0,G307/F307)</f>
        <v>0.969354078264969</v>
      </c>
      <c r="N307" s="16" t="n">
        <f aca="false">K307*L307*M307</f>
        <v>0.535416666666667</v>
      </c>
      <c r="O307" s="19" t="n">
        <f aca="false">MONTH(A307)</f>
        <v>8</v>
      </c>
      <c r="P307" s="19" t="n">
        <f aca="false">INT((A307-DATE(2026,7,1))/7)+1</f>
        <v>5</v>
      </c>
    </row>
    <row r="308" customFormat="false" ht="15" hidden="false" customHeight="false" outlineLevel="0" collapsed="false">
      <c r="A308" s="25" t="n">
        <v>46238</v>
      </c>
      <c r="B308" s="26" t="s">
        <v>16</v>
      </c>
      <c r="C308" s="26" t="s">
        <v>72</v>
      </c>
      <c r="D308" s="26" t="n">
        <v>480</v>
      </c>
      <c r="E308" s="26" t="n">
        <v>12</v>
      </c>
      <c r="F308" s="26" t="n">
        <v>4627</v>
      </c>
      <c r="G308" s="26" t="n">
        <v>4572</v>
      </c>
      <c r="H308" s="19" t="n">
        <f aca="false">SUMIFS(Paradas!$E$2:$E$1973,Paradas!$A$2:$A$1973,A308,Paradas!$B$2:$B$1973,B308,Paradas!$C$2:$C$1973,C308)</f>
        <v>50</v>
      </c>
      <c r="I308" s="19" t="n">
        <f aca="false">D308-H308</f>
        <v>430</v>
      </c>
      <c r="J308" s="19" t="n">
        <f aca="false">I308*E308</f>
        <v>5160</v>
      </c>
      <c r="K308" s="16" t="n">
        <f aca="false">IF(D308=0,0,I308/D308)</f>
        <v>0.895833333333333</v>
      </c>
      <c r="L308" s="16" t="n">
        <f aca="false">IF(J308=0,0,F308/J308)</f>
        <v>0.896705426356589</v>
      </c>
      <c r="M308" s="16" t="n">
        <f aca="false">IF(F308=0,0,G308/F308)</f>
        <v>0.988113248325049</v>
      </c>
      <c r="N308" s="16" t="n">
        <f aca="false">K308*L308*M308</f>
        <v>0.79375</v>
      </c>
      <c r="O308" s="19" t="n">
        <f aca="false">MONTH(A308)</f>
        <v>8</v>
      </c>
      <c r="P308" s="19" t="n">
        <f aca="false">INT((A308-DATE(2026,7,1))/7)+1</f>
        <v>5</v>
      </c>
    </row>
    <row r="309" customFormat="false" ht="15" hidden="false" customHeight="false" outlineLevel="0" collapsed="false">
      <c r="A309" s="25" t="n">
        <v>46238</v>
      </c>
      <c r="B309" s="26" t="s">
        <v>16</v>
      </c>
      <c r="C309" s="26" t="s">
        <v>73</v>
      </c>
      <c r="D309" s="26" t="n">
        <v>480</v>
      </c>
      <c r="E309" s="26" t="n">
        <v>12</v>
      </c>
      <c r="F309" s="26" t="n">
        <v>4226</v>
      </c>
      <c r="G309" s="26" t="n">
        <v>4091</v>
      </c>
      <c r="H309" s="19" t="n">
        <f aca="false">SUMIFS(Paradas!$E$2:$E$1973,Paradas!$A$2:$A$1973,A309,Paradas!$B$2:$B$1973,B309,Paradas!$C$2:$C$1973,C309)</f>
        <v>66</v>
      </c>
      <c r="I309" s="19" t="n">
        <f aca="false">D309-H309</f>
        <v>414</v>
      </c>
      <c r="J309" s="19" t="n">
        <f aca="false">I309*E309</f>
        <v>4968</v>
      </c>
      <c r="K309" s="16" t="n">
        <f aca="false">IF(D309=0,0,I309/D309)</f>
        <v>0.8625</v>
      </c>
      <c r="L309" s="16" t="n">
        <f aca="false">IF(J309=0,0,F309/J309)</f>
        <v>0.850644122383253</v>
      </c>
      <c r="M309" s="16" t="n">
        <f aca="false">IF(F309=0,0,G309/F309)</f>
        <v>0.968054898248935</v>
      </c>
      <c r="N309" s="16" t="n">
        <f aca="false">K309*L309*M309</f>
        <v>0.710243055555556</v>
      </c>
      <c r="O309" s="19" t="n">
        <f aca="false">MONTH(A309)</f>
        <v>8</v>
      </c>
      <c r="P309" s="19" t="n">
        <f aca="false">INT((A309-DATE(2026,7,1))/7)+1</f>
        <v>5</v>
      </c>
    </row>
    <row r="310" customFormat="false" ht="15" hidden="false" customHeight="false" outlineLevel="0" collapsed="false">
      <c r="A310" s="25" t="n">
        <v>46238</v>
      </c>
      <c r="B310" s="26" t="s">
        <v>16</v>
      </c>
      <c r="C310" s="26" t="s">
        <v>74</v>
      </c>
      <c r="D310" s="26" t="n">
        <v>480</v>
      </c>
      <c r="E310" s="26" t="n">
        <v>12</v>
      </c>
      <c r="F310" s="26" t="n">
        <v>3582</v>
      </c>
      <c r="G310" s="26" t="n">
        <v>3520</v>
      </c>
      <c r="H310" s="19" t="n">
        <f aca="false">SUMIFS(Paradas!$E$2:$E$1973,Paradas!$A$2:$A$1973,A310,Paradas!$B$2:$B$1973,B310,Paradas!$C$2:$C$1973,C310)</f>
        <v>114</v>
      </c>
      <c r="I310" s="19" t="n">
        <f aca="false">D310-H310</f>
        <v>366</v>
      </c>
      <c r="J310" s="19" t="n">
        <f aca="false">I310*E310</f>
        <v>4392</v>
      </c>
      <c r="K310" s="16" t="n">
        <f aca="false">IF(D310=0,0,I310/D310)</f>
        <v>0.7625</v>
      </c>
      <c r="L310" s="16" t="n">
        <f aca="false">IF(J310=0,0,F310/J310)</f>
        <v>0.815573770491803</v>
      </c>
      <c r="M310" s="16" t="n">
        <f aca="false">IF(F310=0,0,G310/F310)</f>
        <v>0.982691233947515</v>
      </c>
      <c r="N310" s="16" t="n">
        <f aca="false">K310*L310*M310</f>
        <v>0.611111111111111</v>
      </c>
      <c r="O310" s="19" t="n">
        <f aca="false">MONTH(A310)</f>
        <v>8</v>
      </c>
      <c r="P310" s="19" t="n">
        <f aca="false">INT((A310-DATE(2026,7,1))/7)+1</f>
        <v>5</v>
      </c>
    </row>
    <row r="311" customFormat="false" ht="15" hidden="false" customHeight="false" outlineLevel="0" collapsed="false">
      <c r="A311" s="25" t="n">
        <v>46238</v>
      </c>
      <c r="B311" s="26" t="s">
        <v>17</v>
      </c>
      <c r="C311" s="26" t="s">
        <v>72</v>
      </c>
      <c r="D311" s="26" t="n">
        <v>480</v>
      </c>
      <c r="E311" s="26" t="n">
        <v>10</v>
      </c>
      <c r="F311" s="26" t="n">
        <v>3036</v>
      </c>
      <c r="G311" s="26" t="n">
        <v>2897</v>
      </c>
      <c r="H311" s="19" t="n">
        <f aca="false">SUMIFS(Paradas!$E$2:$E$1973,Paradas!$A$2:$A$1973,A311,Paradas!$B$2:$B$1973,B311,Paradas!$C$2:$C$1973,C311)</f>
        <v>123</v>
      </c>
      <c r="I311" s="19" t="n">
        <f aca="false">D311-H311</f>
        <v>357</v>
      </c>
      <c r="J311" s="19" t="n">
        <f aca="false">I311*E311</f>
        <v>3570</v>
      </c>
      <c r="K311" s="16" t="n">
        <f aca="false">IF(D311=0,0,I311/D311)</f>
        <v>0.74375</v>
      </c>
      <c r="L311" s="16" t="n">
        <f aca="false">IF(J311=0,0,F311/J311)</f>
        <v>0.850420168067227</v>
      </c>
      <c r="M311" s="16" t="n">
        <f aca="false">IF(F311=0,0,G311/F311)</f>
        <v>0.954216073781291</v>
      </c>
      <c r="N311" s="16" t="n">
        <f aca="false">K311*L311*M311</f>
        <v>0.603541666666667</v>
      </c>
      <c r="O311" s="19" t="n">
        <f aca="false">MONTH(A311)</f>
        <v>8</v>
      </c>
      <c r="P311" s="19" t="n">
        <f aca="false">INT((A311-DATE(2026,7,1))/7)+1</f>
        <v>5</v>
      </c>
    </row>
    <row r="312" customFormat="false" ht="15" hidden="false" customHeight="false" outlineLevel="0" collapsed="false">
      <c r="A312" s="25" t="n">
        <v>46238</v>
      </c>
      <c r="B312" s="26" t="s">
        <v>17</v>
      </c>
      <c r="C312" s="26" t="s">
        <v>73</v>
      </c>
      <c r="D312" s="26" t="n">
        <v>480</v>
      </c>
      <c r="E312" s="26" t="n">
        <v>10</v>
      </c>
      <c r="F312" s="26" t="n">
        <v>2599</v>
      </c>
      <c r="G312" s="26" t="n">
        <v>2513</v>
      </c>
      <c r="H312" s="19" t="n">
        <f aca="false">SUMIFS(Paradas!$E$2:$E$1973,Paradas!$A$2:$A$1973,A312,Paradas!$B$2:$B$1973,B312,Paradas!$C$2:$C$1973,C312)</f>
        <v>174</v>
      </c>
      <c r="I312" s="19" t="n">
        <f aca="false">D312-H312</f>
        <v>306</v>
      </c>
      <c r="J312" s="19" t="n">
        <f aca="false">I312*E312</f>
        <v>3060</v>
      </c>
      <c r="K312" s="16" t="n">
        <f aca="false">IF(D312=0,0,I312/D312)</f>
        <v>0.6375</v>
      </c>
      <c r="L312" s="16" t="n">
        <f aca="false">IF(J312=0,0,F312/J312)</f>
        <v>0.849346405228758</v>
      </c>
      <c r="M312" s="16" t="n">
        <f aca="false">IF(F312=0,0,G312/F312)</f>
        <v>0.966910350134667</v>
      </c>
      <c r="N312" s="16" t="n">
        <f aca="false">K312*L312*M312</f>
        <v>0.523541666666667</v>
      </c>
      <c r="O312" s="19" t="n">
        <f aca="false">MONTH(A312)</f>
        <v>8</v>
      </c>
      <c r="P312" s="19" t="n">
        <f aca="false">INT((A312-DATE(2026,7,1))/7)+1</f>
        <v>5</v>
      </c>
    </row>
    <row r="313" customFormat="false" ht="15" hidden="false" customHeight="false" outlineLevel="0" collapsed="false">
      <c r="A313" s="25" t="n">
        <v>46238</v>
      </c>
      <c r="B313" s="26" t="s">
        <v>17</v>
      </c>
      <c r="C313" s="26" t="s">
        <v>74</v>
      </c>
      <c r="D313" s="26" t="n">
        <v>480</v>
      </c>
      <c r="E313" s="26" t="n">
        <v>10</v>
      </c>
      <c r="F313" s="26" t="n">
        <v>2380</v>
      </c>
      <c r="G313" s="26" t="n">
        <v>2253</v>
      </c>
      <c r="H313" s="19" t="n">
        <f aca="false">SUMIFS(Paradas!$E$2:$E$1973,Paradas!$A$2:$A$1973,A313,Paradas!$B$2:$B$1973,B313,Paradas!$C$2:$C$1973,C313)</f>
        <v>199</v>
      </c>
      <c r="I313" s="19" t="n">
        <f aca="false">D313-H313</f>
        <v>281</v>
      </c>
      <c r="J313" s="19" t="n">
        <f aca="false">I313*E313</f>
        <v>2810</v>
      </c>
      <c r="K313" s="16" t="n">
        <f aca="false">IF(D313=0,0,I313/D313)</f>
        <v>0.585416666666667</v>
      </c>
      <c r="L313" s="16" t="n">
        <f aca="false">IF(J313=0,0,F313/J313)</f>
        <v>0.846975088967972</v>
      </c>
      <c r="M313" s="16" t="n">
        <f aca="false">IF(F313=0,0,G313/F313)</f>
        <v>0.946638655462185</v>
      </c>
      <c r="N313" s="16" t="n">
        <f aca="false">K313*L313*M313</f>
        <v>0.469375</v>
      </c>
      <c r="O313" s="19" t="n">
        <f aca="false">MONTH(A313)</f>
        <v>8</v>
      </c>
      <c r="P313" s="19" t="n">
        <f aca="false">INT((A313-DATE(2026,7,1))/7)+1</f>
        <v>5</v>
      </c>
    </row>
    <row r="314" customFormat="false" ht="15" hidden="false" customHeight="false" outlineLevel="0" collapsed="false">
      <c r="A314" s="25" t="n">
        <v>46238</v>
      </c>
      <c r="B314" s="26" t="s">
        <v>18</v>
      </c>
      <c r="C314" s="26" t="s">
        <v>72</v>
      </c>
      <c r="D314" s="26" t="n">
        <v>480</v>
      </c>
      <c r="E314" s="26" t="n">
        <v>8</v>
      </c>
      <c r="F314" s="26" t="n">
        <v>3374</v>
      </c>
      <c r="G314" s="26" t="n">
        <v>3285</v>
      </c>
      <c r="H314" s="19" t="n">
        <f aca="false">SUMIFS(Paradas!$E$2:$E$1973,Paradas!$A$2:$A$1973,A314,Paradas!$B$2:$B$1973,B314,Paradas!$C$2:$C$1973,C314)</f>
        <v>23</v>
      </c>
      <c r="I314" s="19" t="n">
        <f aca="false">D314-H314</f>
        <v>457</v>
      </c>
      <c r="J314" s="19" t="n">
        <f aca="false">I314*E314</f>
        <v>3656</v>
      </c>
      <c r="K314" s="16" t="n">
        <f aca="false">IF(D314=0,0,I314/D314)</f>
        <v>0.952083333333333</v>
      </c>
      <c r="L314" s="16" t="n">
        <f aca="false">IF(J314=0,0,F314/J314)</f>
        <v>0.922866520787746</v>
      </c>
      <c r="M314" s="16" t="n">
        <f aca="false">IF(F314=0,0,G314/F314)</f>
        <v>0.973621813870777</v>
      </c>
      <c r="N314" s="16" t="n">
        <f aca="false">K314*L314*M314</f>
        <v>0.85546875</v>
      </c>
      <c r="O314" s="19" t="n">
        <f aca="false">MONTH(A314)</f>
        <v>8</v>
      </c>
      <c r="P314" s="19" t="n">
        <f aca="false">INT((A314-DATE(2026,7,1))/7)+1</f>
        <v>5</v>
      </c>
    </row>
    <row r="315" customFormat="false" ht="15" hidden="false" customHeight="false" outlineLevel="0" collapsed="false">
      <c r="A315" s="25" t="n">
        <v>46238</v>
      </c>
      <c r="B315" s="26" t="s">
        <v>18</v>
      </c>
      <c r="C315" s="26" t="s">
        <v>73</v>
      </c>
      <c r="D315" s="26" t="n">
        <v>480</v>
      </c>
      <c r="E315" s="26" t="n">
        <v>8</v>
      </c>
      <c r="F315" s="26" t="n">
        <v>2353</v>
      </c>
      <c r="G315" s="26" t="n">
        <v>2245</v>
      </c>
      <c r="H315" s="19" t="n">
        <f aca="false">SUMIFS(Paradas!$E$2:$E$1973,Paradas!$A$2:$A$1973,A315,Paradas!$B$2:$B$1973,B315,Paradas!$C$2:$C$1973,C315)</f>
        <v>151</v>
      </c>
      <c r="I315" s="19" t="n">
        <f aca="false">D315-H315</f>
        <v>329</v>
      </c>
      <c r="J315" s="19" t="n">
        <f aca="false">I315*E315</f>
        <v>2632</v>
      </c>
      <c r="K315" s="16" t="n">
        <f aca="false">IF(D315=0,0,I315/D315)</f>
        <v>0.685416666666667</v>
      </c>
      <c r="L315" s="16" t="n">
        <f aca="false">IF(J315=0,0,F315/J315)</f>
        <v>0.893996960486322</v>
      </c>
      <c r="M315" s="16" t="n">
        <f aca="false">IF(F315=0,0,G315/F315)</f>
        <v>0.954101147471313</v>
      </c>
      <c r="N315" s="16" t="n">
        <f aca="false">K315*L315*M315</f>
        <v>0.584635416666667</v>
      </c>
      <c r="O315" s="19" t="n">
        <f aca="false">MONTH(A315)</f>
        <v>8</v>
      </c>
      <c r="P315" s="19" t="n">
        <f aca="false">INT((A315-DATE(2026,7,1))/7)+1</f>
        <v>5</v>
      </c>
    </row>
    <row r="316" customFormat="false" ht="15" hidden="false" customHeight="false" outlineLevel="0" collapsed="false">
      <c r="A316" s="25" t="n">
        <v>46238</v>
      </c>
      <c r="B316" s="26" t="s">
        <v>18</v>
      </c>
      <c r="C316" s="26" t="s">
        <v>74</v>
      </c>
      <c r="D316" s="26" t="n">
        <v>480</v>
      </c>
      <c r="E316" s="26" t="n">
        <v>8</v>
      </c>
      <c r="F316" s="26" t="n">
        <v>2798</v>
      </c>
      <c r="G316" s="26" t="n">
        <v>2679</v>
      </c>
      <c r="H316" s="19" t="n">
        <f aca="false">SUMIFS(Paradas!$E$2:$E$1973,Paradas!$A$2:$A$1973,A316,Paradas!$B$2:$B$1973,B316,Paradas!$C$2:$C$1973,C316)</f>
        <v>52</v>
      </c>
      <c r="I316" s="19" t="n">
        <f aca="false">D316-H316</f>
        <v>428</v>
      </c>
      <c r="J316" s="19" t="n">
        <f aca="false">I316*E316</f>
        <v>3424</v>
      </c>
      <c r="K316" s="16" t="n">
        <f aca="false">IF(D316=0,0,I316/D316)</f>
        <v>0.891666666666667</v>
      </c>
      <c r="L316" s="16" t="n">
        <f aca="false">IF(J316=0,0,F316/J316)</f>
        <v>0.817172897196262</v>
      </c>
      <c r="M316" s="16" t="n">
        <f aca="false">IF(F316=0,0,G316/F316)</f>
        <v>0.95746962115797</v>
      </c>
      <c r="N316" s="16" t="n">
        <f aca="false">K316*L316*M316</f>
        <v>0.69765625</v>
      </c>
      <c r="O316" s="19" t="n">
        <f aca="false">MONTH(A316)</f>
        <v>8</v>
      </c>
      <c r="P316" s="19" t="n">
        <f aca="false">INT((A316-DATE(2026,7,1))/7)+1</f>
        <v>5</v>
      </c>
    </row>
    <row r="317" customFormat="false" ht="15" hidden="false" customHeight="false" outlineLevel="0" collapsed="false">
      <c r="A317" s="25" t="n">
        <v>46239</v>
      </c>
      <c r="B317" s="26" t="s">
        <v>16</v>
      </c>
      <c r="C317" s="26" t="s">
        <v>72</v>
      </c>
      <c r="D317" s="26" t="n">
        <v>480</v>
      </c>
      <c r="E317" s="26" t="n">
        <v>12</v>
      </c>
      <c r="F317" s="26" t="n">
        <v>5099</v>
      </c>
      <c r="G317" s="26" t="n">
        <v>4970</v>
      </c>
      <c r="H317" s="19" t="n">
        <f aca="false">SUMIFS(Paradas!$E$2:$E$1973,Paradas!$A$2:$A$1973,A317,Paradas!$B$2:$B$1973,B317,Paradas!$C$2:$C$1973,C317)</f>
        <v>29</v>
      </c>
      <c r="I317" s="19" t="n">
        <f aca="false">D317-H317</f>
        <v>451</v>
      </c>
      <c r="J317" s="19" t="n">
        <f aca="false">I317*E317</f>
        <v>5412</v>
      </c>
      <c r="K317" s="16" t="n">
        <f aca="false">IF(D317=0,0,I317/D317)</f>
        <v>0.939583333333333</v>
      </c>
      <c r="L317" s="16" t="n">
        <f aca="false">IF(J317=0,0,F317/J317)</f>
        <v>0.942165558019217</v>
      </c>
      <c r="M317" s="16" t="n">
        <f aca="false">IF(F317=0,0,G317/F317)</f>
        <v>0.974700921749363</v>
      </c>
      <c r="N317" s="16" t="n">
        <f aca="false">K317*L317*M317</f>
        <v>0.862847222222222</v>
      </c>
      <c r="O317" s="19" t="n">
        <f aca="false">MONTH(A317)</f>
        <v>8</v>
      </c>
      <c r="P317" s="19" t="n">
        <f aca="false">INT((A317-DATE(2026,7,1))/7)+1</f>
        <v>6</v>
      </c>
    </row>
    <row r="318" customFormat="false" ht="15" hidden="false" customHeight="false" outlineLevel="0" collapsed="false">
      <c r="A318" s="25" t="n">
        <v>46239</v>
      </c>
      <c r="B318" s="26" t="s">
        <v>16</v>
      </c>
      <c r="C318" s="26" t="s">
        <v>73</v>
      </c>
      <c r="D318" s="26" t="n">
        <v>480</v>
      </c>
      <c r="E318" s="26" t="n">
        <v>12</v>
      </c>
      <c r="F318" s="26" t="n">
        <v>4431</v>
      </c>
      <c r="G318" s="26" t="n">
        <v>4292</v>
      </c>
      <c r="H318" s="19" t="n">
        <f aca="false">SUMIFS(Paradas!$E$2:$E$1973,Paradas!$A$2:$A$1973,A318,Paradas!$B$2:$B$1973,B318,Paradas!$C$2:$C$1973,C318)</f>
        <v>57</v>
      </c>
      <c r="I318" s="19" t="n">
        <f aca="false">D318-H318</f>
        <v>423</v>
      </c>
      <c r="J318" s="19" t="n">
        <f aca="false">I318*E318</f>
        <v>5076</v>
      </c>
      <c r="K318" s="16" t="n">
        <f aca="false">IF(D318=0,0,I318/D318)</f>
        <v>0.88125</v>
      </c>
      <c r="L318" s="16" t="n">
        <f aca="false">IF(J318=0,0,F318/J318)</f>
        <v>0.872931442080378</v>
      </c>
      <c r="M318" s="16" t="n">
        <f aca="false">IF(F318=0,0,G318/F318)</f>
        <v>0.968630106070864</v>
      </c>
      <c r="N318" s="16" t="n">
        <f aca="false">K318*L318*M318</f>
        <v>0.745138888888889</v>
      </c>
      <c r="O318" s="19" t="n">
        <f aca="false">MONTH(A318)</f>
        <v>8</v>
      </c>
      <c r="P318" s="19" t="n">
        <f aca="false">INT((A318-DATE(2026,7,1))/7)+1</f>
        <v>6</v>
      </c>
    </row>
    <row r="319" customFormat="false" ht="15" hidden="false" customHeight="false" outlineLevel="0" collapsed="false">
      <c r="A319" s="25" t="n">
        <v>46239</v>
      </c>
      <c r="B319" s="26" t="s">
        <v>16</v>
      </c>
      <c r="C319" s="26" t="s">
        <v>74</v>
      </c>
      <c r="D319" s="26" t="n">
        <v>480</v>
      </c>
      <c r="E319" s="26" t="n">
        <v>12</v>
      </c>
      <c r="F319" s="26" t="n">
        <v>4206</v>
      </c>
      <c r="G319" s="26" t="n">
        <v>4166</v>
      </c>
      <c r="H319" s="19" t="n">
        <f aca="false">SUMIFS(Paradas!$E$2:$E$1973,Paradas!$A$2:$A$1973,A319,Paradas!$B$2:$B$1973,B319,Paradas!$C$2:$C$1973,C319)</f>
        <v>55</v>
      </c>
      <c r="I319" s="19" t="n">
        <f aca="false">D319-H319</f>
        <v>425</v>
      </c>
      <c r="J319" s="19" t="n">
        <f aca="false">I319*E319</f>
        <v>5100</v>
      </c>
      <c r="K319" s="16" t="n">
        <f aca="false">IF(D319=0,0,I319/D319)</f>
        <v>0.885416666666667</v>
      </c>
      <c r="L319" s="16" t="n">
        <f aca="false">IF(J319=0,0,F319/J319)</f>
        <v>0.824705882352941</v>
      </c>
      <c r="M319" s="16" t="n">
        <f aca="false">IF(F319=0,0,G319/F319)</f>
        <v>0.990489776509748</v>
      </c>
      <c r="N319" s="16" t="n">
        <f aca="false">K319*L319*M319</f>
        <v>0.723263888888889</v>
      </c>
      <c r="O319" s="19" t="n">
        <f aca="false">MONTH(A319)</f>
        <v>8</v>
      </c>
      <c r="P319" s="19" t="n">
        <f aca="false">INT((A319-DATE(2026,7,1))/7)+1</f>
        <v>6</v>
      </c>
    </row>
    <row r="320" customFormat="false" ht="15" hidden="false" customHeight="false" outlineLevel="0" collapsed="false">
      <c r="A320" s="25" t="n">
        <v>46239</v>
      </c>
      <c r="B320" s="26" t="s">
        <v>17</v>
      </c>
      <c r="C320" s="26" t="s">
        <v>72</v>
      </c>
      <c r="D320" s="26" t="n">
        <v>480</v>
      </c>
      <c r="E320" s="26" t="n">
        <v>10</v>
      </c>
      <c r="F320" s="26" t="n">
        <v>3918</v>
      </c>
      <c r="G320" s="26" t="n">
        <v>3739</v>
      </c>
      <c r="H320" s="19" t="n">
        <f aca="false">SUMIFS(Paradas!$E$2:$E$1973,Paradas!$A$2:$A$1973,A320,Paradas!$B$2:$B$1973,B320,Paradas!$C$2:$C$1973,C320)</f>
        <v>66</v>
      </c>
      <c r="I320" s="19" t="n">
        <f aca="false">D320-H320</f>
        <v>414</v>
      </c>
      <c r="J320" s="19" t="n">
        <f aca="false">I320*E320</f>
        <v>4140</v>
      </c>
      <c r="K320" s="16" t="n">
        <f aca="false">IF(D320=0,0,I320/D320)</f>
        <v>0.8625</v>
      </c>
      <c r="L320" s="16" t="n">
        <f aca="false">IF(J320=0,0,F320/J320)</f>
        <v>0.946376811594203</v>
      </c>
      <c r="M320" s="16" t="n">
        <f aca="false">IF(F320=0,0,G320/F320)</f>
        <v>0.954313425216947</v>
      </c>
      <c r="N320" s="16" t="n">
        <f aca="false">K320*L320*M320</f>
        <v>0.778958333333333</v>
      </c>
      <c r="O320" s="19" t="n">
        <f aca="false">MONTH(A320)</f>
        <v>8</v>
      </c>
      <c r="P320" s="19" t="n">
        <f aca="false">INT((A320-DATE(2026,7,1))/7)+1</f>
        <v>6</v>
      </c>
    </row>
    <row r="321" customFormat="false" ht="15" hidden="false" customHeight="false" outlineLevel="0" collapsed="false">
      <c r="A321" s="25" t="n">
        <v>46239</v>
      </c>
      <c r="B321" s="26" t="s">
        <v>17</v>
      </c>
      <c r="C321" s="26" t="s">
        <v>73</v>
      </c>
      <c r="D321" s="26" t="n">
        <v>480</v>
      </c>
      <c r="E321" s="26" t="n">
        <v>10</v>
      </c>
      <c r="F321" s="26" t="n">
        <v>4060</v>
      </c>
      <c r="G321" s="26" t="n">
        <v>3836</v>
      </c>
      <c r="H321" s="19" t="n">
        <f aca="false">SUMIFS(Paradas!$E$2:$E$1973,Paradas!$A$2:$A$1973,A321,Paradas!$B$2:$B$1973,B321,Paradas!$C$2:$C$1973,C321)</f>
        <v>18</v>
      </c>
      <c r="I321" s="19" t="n">
        <f aca="false">D321-H321</f>
        <v>462</v>
      </c>
      <c r="J321" s="19" t="n">
        <f aca="false">I321*E321</f>
        <v>4620</v>
      </c>
      <c r="K321" s="16" t="n">
        <f aca="false">IF(D321=0,0,I321/D321)</f>
        <v>0.9625</v>
      </c>
      <c r="L321" s="16" t="n">
        <f aca="false">IF(J321=0,0,F321/J321)</f>
        <v>0.878787878787879</v>
      </c>
      <c r="M321" s="16" t="n">
        <f aca="false">IF(F321=0,0,G321/F321)</f>
        <v>0.944827586206897</v>
      </c>
      <c r="N321" s="16" t="n">
        <f aca="false">K321*L321*M321</f>
        <v>0.799166666666667</v>
      </c>
      <c r="O321" s="19" t="n">
        <f aca="false">MONTH(A321)</f>
        <v>8</v>
      </c>
      <c r="P321" s="19" t="n">
        <f aca="false">INT((A321-DATE(2026,7,1))/7)+1</f>
        <v>6</v>
      </c>
    </row>
    <row r="322" customFormat="false" ht="15" hidden="false" customHeight="false" outlineLevel="0" collapsed="false">
      <c r="A322" s="25" t="n">
        <v>46239</v>
      </c>
      <c r="B322" s="26" t="s">
        <v>17</v>
      </c>
      <c r="C322" s="26" t="s">
        <v>74</v>
      </c>
      <c r="D322" s="26" t="n">
        <v>480</v>
      </c>
      <c r="E322" s="26" t="n">
        <v>10</v>
      </c>
      <c r="F322" s="26" t="n">
        <v>2691</v>
      </c>
      <c r="G322" s="26" t="n">
        <v>2564</v>
      </c>
      <c r="H322" s="19" t="n">
        <f aca="false">SUMIFS(Paradas!$E$2:$E$1973,Paradas!$A$2:$A$1973,A322,Paradas!$B$2:$B$1973,B322,Paradas!$C$2:$C$1973,C322)</f>
        <v>151</v>
      </c>
      <c r="I322" s="19" t="n">
        <f aca="false">D322-H322</f>
        <v>329</v>
      </c>
      <c r="J322" s="19" t="n">
        <f aca="false">I322*E322</f>
        <v>3290</v>
      </c>
      <c r="K322" s="16" t="n">
        <f aca="false">IF(D322=0,0,I322/D322)</f>
        <v>0.685416666666667</v>
      </c>
      <c r="L322" s="16" t="n">
        <f aca="false">IF(J322=0,0,F322/J322)</f>
        <v>0.817933130699088</v>
      </c>
      <c r="M322" s="16" t="n">
        <f aca="false">IF(F322=0,0,G322/F322)</f>
        <v>0.952805648457822</v>
      </c>
      <c r="N322" s="16" t="n">
        <f aca="false">K322*L322*M322</f>
        <v>0.534166666666667</v>
      </c>
      <c r="O322" s="19" t="n">
        <f aca="false">MONTH(A322)</f>
        <v>8</v>
      </c>
      <c r="P322" s="19" t="n">
        <f aca="false">INT((A322-DATE(2026,7,1))/7)+1</f>
        <v>6</v>
      </c>
    </row>
    <row r="323" customFormat="false" ht="15" hidden="false" customHeight="false" outlineLevel="0" collapsed="false">
      <c r="A323" s="25" t="n">
        <v>46239</v>
      </c>
      <c r="B323" s="26" t="s">
        <v>18</v>
      </c>
      <c r="C323" s="26" t="s">
        <v>72</v>
      </c>
      <c r="D323" s="26" t="n">
        <v>480</v>
      </c>
      <c r="E323" s="26" t="n">
        <v>8</v>
      </c>
      <c r="F323" s="26" t="n">
        <v>1834</v>
      </c>
      <c r="G323" s="26" t="n">
        <v>1767</v>
      </c>
      <c r="H323" s="19" t="n">
        <f aca="false">SUMIFS(Paradas!$E$2:$E$1973,Paradas!$A$2:$A$1973,A323,Paradas!$B$2:$B$1973,B323,Paradas!$C$2:$C$1973,C323)</f>
        <v>215</v>
      </c>
      <c r="I323" s="19" t="n">
        <f aca="false">D323-H323</f>
        <v>265</v>
      </c>
      <c r="J323" s="19" t="n">
        <f aca="false">I323*E323</f>
        <v>2120</v>
      </c>
      <c r="K323" s="16" t="n">
        <f aca="false">IF(D323=0,0,I323/D323)</f>
        <v>0.552083333333333</v>
      </c>
      <c r="L323" s="16" t="n">
        <f aca="false">IF(J323=0,0,F323/J323)</f>
        <v>0.865094339622642</v>
      </c>
      <c r="M323" s="16" t="n">
        <f aca="false">IF(F323=0,0,G323/F323)</f>
        <v>0.963467829880044</v>
      </c>
      <c r="N323" s="16" t="n">
        <f aca="false">K323*L323*M323</f>
        <v>0.46015625</v>
      </c>
      <c r="O323" s="19" t="n">
        <f aca="false">MONTH(A323)</f>
        <v>8</v>
      </c>
      <c r="P323" s="19" t="n">
        <f aca="false">INT((A323-DATE(2026,7,1))/7)+1</f>
        <v>6</v>
      </c>
    </row>
    <row r="324" customFormat="false" ht="15" hidden="false" customHeight="false" outlineLevel="0" collapsed="false">
      <c r="A324" s="25" t="n">
        <v>46239</v>
      </c>
      <c r="B324" s="26" t="s">
        <v>18</v>
      </c>
      <c r="C324" s="26" t="s">
        <v>73</v>
      </c>
      <c r="D324" s="26" t="n">
        <v>480</v>
      </c>
      <c r="E324" s="26" t="n">
        <v>8</v>
      </c>
      <c r="F324" s="26" t="n">
        <v>2797</v>
      </c>
      <c r="G324" s="26" t="n">
        <v>2721</v>
      </c>
      <c r="H324" s="19" t="n">
        <f aca="false">SUMIFS(Paradas!$E$2:$E$1973,Paradas!$A$2:$A$1973,A324,Paradas!$B$2:$B$1973,B324,Paradas!$C$2:$C$1973,C324)</f>
        <v>107</v>
      </c>
      <c r="I324" s="19" t="n">
        <f aca="false">D324-H324</f>
        <v>373</v>
      </c>
      <c r="J324" s="19" t="n">
        <f aca="false">I324*E324</f>
        <v>2984</v>
      </c>
      <c r="K324" s="16" t="n">
        <f aca="false">IF(D324=0,0,I324/D324)</f>
        <v>0.777083333333333</v>
      </c>
      <c r="L324" s="16" t="n">
        <f aca="false">IF(J324=0,0,F324/J324)</f>
        <v>0.937332439678284</v>
      </c>
      <c r="M324" s="16" t="n">
        <f aca="false">IF(F324=0,0,G324/F324)</f>
        <v>0.972828030032177</v>
      </c>
      <c r="N324" s="16" t="n">
        <f aca="false">K324*L324*M324</f>
        <v>0.70859375</v>
      </c>
      <c r="O324" s="19" t="n">
        <f aca="false">MONTH(A324)</f>
        <v>8</v>
      </c>
      <c r="P324" s="19" t="n">
        <f aca="false">INT((A324-DATE(2026,7,1))/7)+1</f>
        <v>6</v>
      </c>
    </row>
    <row r="325" customFormat="false" ht="15" hidden="false" customHeight="false" outlineLevel="0" collapsed="false">
      <c r="A325" s="25" t="n">
        <v>46239</v>
      </c>
      <c r="B325" s="26" t="s">
        <v>18</v>
      </c>
      <c r="C325" s="26" t="s">
        <v>74</v>
      </c>
      <c r="D325" s="26" t="n">
        <v>480</v>
      </c>
      <c r="E325" s="26" t="n">
        <v>8</v>
      </c>
      <c r="F325" s="26" t="n">
        <v>3174</v>
      </c>
      <c r="G325" s="26" t="n">
        <v>3051</v>
      </c>
      <c r="H325" s="19" t="n">
        <f aca="false">SUMIFS(Paradas!$E$2:$E$1973,Paradas!$A$2:$A$1973,A325,Paradas!$B$2:$B$1973,B325,Paradas!$C$2:$C$1973,C325)</f>
        <v>29</v>
      </c>
      <c r="I325" s="19" t="n">
        <f aca="false">D325-H325</f>
        <v>451</v>
      </c>
      <c r="J325" s="19" t="n">
        <f aca="false">I325*E325</f>
        <v>3608</v>
      </c>
      <c r="K325" s="16" t="n">
        <f aca="false">IF(D325=0,0,I325/D325)</f>
        <v>0.939583333333333</v>
      </c>
      <c r="L325" s="16" t="n">
        <f aca="false">IF(J325=0,0,F325/J325)</f>
        <v>0.879711751662971</v>
      </c>
      <c r="M325" s="16" t="n">
        <f aca="false">IF(F325=0,0,G325/F325)</f>
        <v>0.96124763705104</v>
      </c>
      <c r="N325" s="16" t="n">
        <f aca="false">K325*L325*M325</f>
        <v>0.79453125</v>
      </c>
      <c r="O325" s="19" t="n">
        <f aca="false">MONTH(A325)</f>
        <v>8</v>
      </c>
      <c r="P325" s="19" t="n">
        <f aca="false">INT((A325-DATE(2026,7,1))/7)+1</f>
        <v>6</v>
      </c>
    </row>
    <row r="326" customFormat="false" ht="15" hidden="false" customHeight="false" outlineLevel="0" collapsed="false">
      <c r="A326" s="25" t="n">
        <v>46240</v>
      </c>
      <c r="B326" s="26" t="s">
        <v>16</v>
      </c>
      <c r="C326" s="26" t="s">
        <v>72</v>
      </c>
      <c r="D326" s="26" t="n">
        <v>480</v>
      </c>
      <c r="E326" s="26" t="n">
        <v>12</v>
      </c>
      <c r="F326" s="26" t="n">
        <v>3719</v>
      </c>
      <c r="G326" s="26" t="n">
        <v>3649</v>
      </c>
      <c r="H326" s="19" t="n">
        <f aca="false">SUMIFS(Paradas!$E$2:$E$1973,Paradas!$A$2:$A$1973,A326,Paradas!$B$2:$B$1973,B326,Paradas!$C$2:$C$1973,C326)</f>
        <v>141</v>
      </c>
      <c r="I326" s="19" t="n">
        <f aca="false">D326-H326</f>
        <v>339</v>
      </c>
      <c r="J326" s="19" t="n">
        <f aca="false">I326*E326</f>
        <v>4068</v>
      </c>
      <c r="K326" s="16" t="n">
        <f aca="false">IF(D326=0,0,I326/D326)</f>
        <v>0.70625</v>
      </c>
      <c r="L326" s="16" t="n">
        <f aca="false">IF(J326=0,0,F326/J326)</f>
        <v>0.914208456243855</v>
      </c>
      <c r="M326" s="16" t="n">
        <f aca="false">IF(F326=0,0,G326/F326)</f>
        <v>0.981177735950524</v>
      </c>
      <c r="N326" s="16" t="n">
        <f aca="false">K326*L326*M326</f>
        <v>0.633506944444444</v>
      </c>
      <c r="O326" s="19" t="n">
        <f aca="false">MONTH(A326)</f>
        <v>8</v>
      </c>
      <c r="P326" s="19" t="n">
        <f aca="false">INT((A326-DATE(2026,7,1))/7)+1</f>
        <v>6</v>
      </c>
    </row>
    <row r="327" customFormat="false" ht="15" hidden="false" customHeight="false" outlineLevel="0" collapsed="false">
      <c r="A327" s="25" t="n">
        <v>46240</v>
      </c>
      <c r="B327" s="26" t="s">
        <v>16</v>
      </c>
      <c r="C327" s="26" t="s">
        <v>73</v>
      </c>
      <c r="D327" s="26" t="n">
        <v>480</v>
      </c>
      <c r="E327" s="26" t="n">
        <v>12</v>
      </c>
      <c r="F327" s="26" t="n">
        <v>3596</v>
      </c>
      <c r="G327" s="26" t="n">
        <v>3562</v>
      </c>
      <c r="H327" s="19" t="n">
        <f aca="false">SUMIFS(Paradas!$E$2:$E$1973,Paradas!$A$2:$A$1973,A327,Paradas!$B$2:$B$1973,B327,Paradas!$C$2:$C$1973,C327)</f>
        <v>144</v>
      </c>
      <c r="I327" s="19" t="n">
        <f aca="false">D327-H327</f>
        <v>336</v>
      </c>
      <c r="J327" s="19" t="n">
        <f aca="false">I327*E327</f>
        <v>4032</v>
      </c>
      <c r="K327" s="16" t="n">
        <f aca="false">IF(D327=0,0,I327/D327)</f>
        <v>0.7</v>
      </c>
      <c r="L327" s="16" t="n">
        <f aca="false">IF(J327=0,0,F327/J327)</f>
        <v>0.891865079365079</v>
      </c>
      <c r="M327" s="16" t="n">
        <f aca="false">IF(F327=0,0,G327/F327)</f>
        <v>0.990545050055617</v>
      </c>
      <c r="N327" s="16" t="n">
        <f aca="false">K327*L327*M327</f>
        <v>0.618402777777778</v>
      </c>
      <c r="O327" s="19" t="n">
        <f aca="false">MONTH(A327)</f>
        <v>8</v>
      </c>
      <c r="P327" s="19" t="n">
        <f aca="false">INT((A327-DATE(2026,7,1))/7)+1</f>
        <v>6</v>
      </c>
    </row>
    <row r="328" customFormat="false" ht="15" hidden="false" customHeight="false" outlineLevel="0" collapsed="false">
      <c r="A328" s="25" t="n">
        <v>46240</v>
      </c>
      <c r="B328" s="26" t="s">
        <v>16</v>
      </c>
      <c r="C328" s="26" t="s">
        <v>74</v>
      </c>
      <c r="D328" s="26" t="n">
        <v>480</v>
      </c>
      <c r="E328" s="26" t="n">
        <v>12</v>
      </c>
      <c r="F328" s="26" t="n">
        <v>4691</v>
      </c>
      <c r="G328" s="26" t="n">
        <v>4594</v>
      </c>
      <c r="H328" s="19" t="n">
        <f aca="false">SUMIFS(Paradas!$E$2:$E$1973,Paradas!$A$2:$A$1973,A328,Paradas!$B$2:$B$1973,B328,Paradas!$C$2:$C$1973,C328)</f>
        <v>30</v>
      </c>
      <c r="I328" s="19" t="n">
        <f aca="false">D328-H328</f>
        <v>450</v>
      </c>
      <c r="J328" s="19" t="n">
        <f aca="false">I328*E328</f>
        <v>5400</v>
      </c>
      <c r="K328" s="16" t="n">
        <f aca="false">IF(D328=0,0,I328/D328)</f>
        <v>0.9375</v>
      </c>
      <c r="L328" s="16" t="n">
        <f aca="false">IF(J328=0,0,F328/J328)</f>
        <v>0.868703703703704</v>
      </c>
      <c r="M328" s="16" t="n">
        <f aca="false">IF(F328=0,0,G328/F328)</f>
        <v>0.979322106160733</v>
      </c>
      <c r="N328" s="16" t="n">
        <f aca="false">K328*L328*M328</f>
        <v>0.797569444444445</v>
      </c>
      <c r="O328" s="19" t="n">
        <f aca="false">MONTH(A328)</f>
        <v>8</v>
      </c>
      <c r="P328" s="19" t="n">
        <f aca="false">INT((A328-DATE(2026,7,1))/7)+1</f>
        <v>6</v>
      </c>
    </row>
    <row r="329" customFormat="false" ht="15" hidden="false" customHeight="false" outlineLevel="0" collapsed="false">
      <c r="A329" s="25" t="n">
        <v>46240</v>
      </c>
      <c r="B329" s="26" t="s">
        <v>17</v>
      </c>
      <c r="C329" s="26" t="s">
        <v>72</v>
      </c>
      <c r="D329" s="26" t="n">
        <v>480</v>
      </c>
      <c r="E329" s="26" t="n">
        <v>10</v>
      </c>
      <c r="F329" s="26" t="n">
        <v>3619</v>
      </c>
      <c r="G329" s="26" t="n">
        <v>3490</v>
      </c>
      <c r="H329" s="19" t="n">
        <f aca="false">SUMIFS(Paradas!$E$2:$E$1973,Paradas!$A$2:$A$1973,A329,Paradas!$B$2:$B$1973,B329,Paradas!$C$2:$C$1973,C329)</f>
        <v>79</v>
      </c>
      <c r="I329" s="19" t="n">
        <f aca="false">D329-H329</f>
        <v>401</v>
      </c>
      <c r="J329" s="19" t="n">
        <f aca="false">I329*E329</f>
        <v>4010</v>
      </c>
      <c r="K329" s="16" t="n">
        <f aca="false">IF(D329=0,0,I329/D329)</f>
        <v>0.835416666666667</v>
      </c>
      <c r="L329" s="16" t="n">
        <f aca="false">IF(J329=0,0,F329/J329)</f>
        <v>0.902493765586035</v>
      </c>
      <c r="M329" s="16" t="n">
        <f aca="false">IF(F329=0,0,G329/F329)</f>
        <v>0.964354794142028</v>
      </c>
      <c r="N329" s="16" t="n">
        <f aca="false">K329*L329*M329</f>
        <v>0.727083333333333</v>
      </c>
      <c r="O329" s="19" t="n">
        <f aca="false">MONTH(A329)</f>
        <v>8</v>
      </c>
      <c r="P329" s="19" t="n">
        <f aca="false">INT((A329-DATE(2026,7,1))/7)+1</f>
        <v>6</v>
      </c>
    </row>
    <row r="330" customFormat="false" ht="15" hidden="false" customHeight="false" outlineLevel="0" collapsed="false">
      <c r="A330" s="25" t="n">
        <v>46240</v>
      </c>
      <c r="B330" s="26" t="s">
        <v>17</v>
      </c>
      <c r="C330" s="26" t="s">
        <v>73</v>
      </c>
      <c r="D330" s="26" t="n">
        <v>480</v>
      </c>
      <c r="E330" s="26" t="n">
        <v>10</v>
      </c>
      <c r="F330" s="26" t="n">
        <v>2394</v>
      </c>
      <c r="G330" s="26" t="n">
        <v>2294</v>
      </c>
      <c r="H330" s="19" t="n">
        <f aca="false">SUMIFS(Paradas!$E$2:$E$1973,Paradas!$A$2:$A$1973,A330,Paradas!$B$2:$B$1973,B330,Paradas!$C$2:$C$1973,C330)</f>
        <v>210</v>
      </c>
      <c r="I330" s="19" t="n">
        <f aca="false">D330-H330</f>
        <v>270</v>
      </c>
      <c r="J330" s="19" t="n">
        <f aca="false">I330*E330</f>
        <v>2700</v>
      </c>
      <c r="K330" s="16" t="n">
        <f aca="false">IF(D330=0,0,I330/D330)</f>
        <v>0.5625</v>
      </c>
      <c r="L330" s="16" t="n">
        <f aca="false">IF(J330=0,0,F330/J330)</f>
        <v>0.886666666666667</v>
      </c>
      <c r="M330" s="16" t="n">
        <f aca="false">IF(F330=0,0,G330/F330)</f>
        <v>0.958228905597327</v>
      </c>
      <c r="N330" s="16" t="n">
        <f aca="false">K330*L330*M330</f>
        <v>0.477916666666667</v>
      </c>
      <c r="O330" s="19" t="n">
        <f aca="false">MONTH(A330)</f>
        <v>8</v>
      </c>
      <c r="P330" s="19" t="n">
        <f aca="false">INT((A330-DATE(2026,7,1))/7)+1</f>
        <v>6</v>
      </c>
    </row>
    <row r="331" customFormat="false" ht="15" hidden="false" customHeight="false" outlineLevel="0" collapsed="false">
      <c r="A331" s="25" t="n">
        <v>46240</v>
      </c>
      <c r="B331" s="26" t="s">
        <v>17</v>
      </c>
      <c r="C331" s="26" t="s">
        <v>74</v>
      </c>
      <c r="D331" s="26" t="n">
        <v>480</v>
      </c>
      <c r="E331" s="26" t="n">
        <v>10</v>
      </c>
      <c r="F331" s="26" t="n">
        <v>3567</v>
      </c>
      <c r="G331" s="26" t="n">
        <v>3403</v>
      </c>
      <c r="H331" s="19" t="n">
        <f aca="false">SUMIFS(Paradas!$E$2:$E$1973,Paradas!$A$2:$A$1973,A331,Paradas!$B$2:$B$1973,B331,Paradas!$C$2:$C$1973,C331)</f>
        <v>44</v>
      </c>
      <c r="I331" s="19" t="n">
        <f aca="false">D331-H331</f>
        <v>436</v>
      </c>
      <c r="J331" s="19" t="n">
        <f aca="false">I331*E331</f>
        <v>4360</v>
      </c>
      <c r="K331" s="16" t="n">
        <f aca="false">IF(D331=0,0,I331/D331)</f>
        <v>0.908333333333333</v>
      </c>
      <c r="L331" s="16" t="n">
        <f aca="false">IF(J331=0,0,F331/J331)</f>
        <v>0.818119266055046</v>
      </c>
      <c r="M331" s="16" t="n">
        <f aca="false">IF(F331=0,0,G331/F331)</f>
        <v>0.954022988505747</v>
      </c>
      <c r="N331" s="16" t="n">
        <f aca="false">K331*L331*M331</f>
        <v>0.708958333333333</v>
      </c>
      <c r="O331" s="19" t="n">
        <f aca="false">MONTH(A331)</f>
        <v>8</v>
      </c>
      <c r="P331" s="19" t="n">
        <f aca="false">INT((A331-DATE(2026,7,1))/7)+1</f>
        <v>6</v>
      </c>
    </row>
    <row r="332" customFormat="false" ht="15" hidden="false" customHeight="false" outlineLevel="0" collapsed="false">
      <c r="A332" s="25" t="n">
        <v>46240</v>
      </c>
      <c r="B332" s="26" t="s">
        <v>18</v>
      </c>
      <c r="C332" s="26" t="s">
        <v>72</v>
      </c>
      <c r="D332" s="26" t="n">
        <v>480</v>
      </c>
      <c r="E332" s="26" t="n">
        <v>8</v>
      </c>
      <c r="F332" s="26" t="n">
        <v>3719</v>
      </c>
      <c r="G332" s="26" t="n">
        <v>3527</v>
      </c>
      <c r="H332" s="19" t="n">
        <f aca="false">SUMIFS(Paradas!$E$2:$E$1973,Paradas!$A$2:$A$1973,A332,Paradas!$B$2:$B$1973,B332,Paradas!$C$2:$C$1973,C332)</f>
        <v>0</v>
      </c>
      <c r="I332" s="19" t="n">
        <f aca="false">D332-H332</f>
        <v>480</v>
      </c>
      <c r="J332" s="19" t="n">
        <f aca="false">I332*E332</f>
        <v>3840</v>
      </c>
      <c r="K332" s="16" t="n">
        <f aca="false">IF(D332=0,0,I332/D332)</f>
        <v>1</v>
      </c>
      <c r="L332" s="16" t="n">
        <f aca="false">IF(J332=0,0,F332/J332)</f>
        <v>0.968489583333333</v>
      </c>
      <c r="M332" s="16" t="n">
        <f aca="false">IF(F332=0,0,G332/F332)</f>
        <v>0.948373218607153</v>
      </c>
      <c r="N332" s="16" t="n">
        <f aca="false">K332*L332*M332</f>
        <v>0.918489583333333</v>
      </c>
      <c r="O332" s="19" t="n">
        <f aca="false">MONTH(A332)</f>
        <v>8</v>
      </c>
      <c r="P332" s="19" t="n">
        <f aca="false">INT((A332-DATE(2026,7,1))/7)+1</f>
        <v>6</v>
      </c>
    </row>
    <row r="333" customFormat="false" ht="15" hidden="false" customHeight="false" outlineLevel="0" collapsed="false">
      <c r="A333" s="25" t="n">
        <v>46240</v>
      </c>
      <c r="B333" s="26" t="s">
        <v>18</v>
      </c>
      <c r="C333" s="26" t="s">
        <v>73</v>
      </c>
      <c r="D333" s="26" t="n">
        <v>480</v>
      </c>
      <c r="E333" s="26" t="n">
        <v>8</v>
      </c>
      <c r="F333" s="26" t="n">
        <v>1976</v>
      </c>
      <c r="G333" s="26" t="n">
        <v>1878</v>
      </c>
      <c r="H333" s="19" t="n">
        <f aca="false">SUMIFS(Paradas!$E$2:$E$1973,Paradas!$A$2:$A$1973,A333,Paradas!$B$2:$B$1973,B333,Paradas!$C$2:$C$1973,C333)</f>
        <v>220</v>
      </c>
      <c r="I333" s="19" t="n">
        <f aca="false">D333-H333</f>
        <v>260</v>
      </c>
      <c r="J333" s="19" t="n">
        <f aca="false">I333*E333</f>
        <v>2080</v>
      </c>
      <c r="K333" s="16" t="n">
        <f aca="false">IF(D333=0,0,I333/D333)</f>
        <v>0.541666666666667</v>
      </c>
      <c r="L333" s="16" t="n">
        <f aca="false">IF(J333=0,0,F333/J333)</f>
        <v>0.95</v>
      </c>
      <c r="M333" s="16" t="n">
        <f aca="false">IF(F333=0,0,G333/F333)</f>
        <v>0.950404858299595</v>
      </c>
      <c r="N333" s="16" t="n">
        <f aca="false">K333*L333*M333</f>
        <v>0.4890625</v>
      </c>
      <c r="O333" s="19" t="n">
        <f aca="false">MONTH(A333)</f>
        <v>8</v>
      </c>
      <c r="P333" s="19" t="n">
        <f aca="false">INT((A333-DATE(2026,7,1))/7)+1</f>
        <v>6</v>
      </c>
    </row>
    <row r="334" customFormat="false" ht="15" hidden="false" customHeight="false" outlineLevel="0" collapsed="false">
      <c r="A334" s="25" t="n">
        <v>46240</v>
      </c>
      <c r="B334" s="26" t="s">
        <v>18</v>
      </c>
      <c r="C334" s="26" t="s">
        <v>74</v>
      </c>
      <c r="D334" s="26" t="n">
        <v>480</v>
      </c>
      <c r="E334" s="26" t="n">
        <v>8</v>
      </c>
      <c r="F334" s="26" t="n">
        <v>3190</v>
      </c>
      <c r="G334" s="26" t="n">
        <v>3097</v>
      </c>
      <c r="H334" s="19" t="n">
        <f aca="false">SUMIFS(Paradas!$E$2:$E$1973,Paradas!$A$2:$A$1973,A334,Paradas!$B$2:$B$1973,B334,Paradas!$C$2:$C$1973,C334)</f>
        <v>11</v>
      </c>
      <c r="I334" s="19" t="n">
        <f aca="false">D334-H334</f>
        <v>469</v>
      </c>
      <c r="J334" s="19" t="n">
        <f aca="false">I334*E334</f>
        <v>3752</v>
      </c>
      <c r="K334" s="16" t="n">
        <f aca="false">IF(D334=0,0,I334/D334)</f>
        <v>0.977083333333333</v>
      </c>
      <c r="L334" s="16" t="n">
        <f aca="false">IF(J334=0,0,F334/J334)</f>
        <v>0.850213219616205</v>
      </c>
      <c r="M334" s="16" t="n">
        <f aca="false">IF(F334=0,0,G334/F334)</f>
        <v>0.970846394984326</v>
      </c>
      <c r="N334" s="16" t="n">
        <f aca="false">K334*L334*M334</f>
        <v>0.806510416666667</v>
      </c>
      <c r="O334" s="19" t="n">
        <f aca="false">MONTH(A334)</f>
        <v>8</v>
      </c>
      <c r="P334" s="19" t="n">
        <f aca="false">INT((A334-DATE(2026,7,1))/7)+1</f>
        <v>6</v>
      </c>
    </row>
    <row r="335" customFormat="false" ht="15" hidden="false" customHeight="false" outlineLevel="0" collapsed="false">
      <c r="A335" s="25" t="n">
        <v>46241</v>
      </c>
      <c r="B335" s="26" t="s">
        <v>16</v>
      </c>
      <c r="C335" s="26" t="s">
        <v>72</v>
      </c>
      <c r="D335" s="26" t="n">
        <v>480</v>
      </c>
      <c r="E335" s="26" t="n">
        <v>12</v>
      </c>
      <c r="F335" s="26" t="n">
        <v>5043</v>
      </c>
      <c r="G335" s="26" t="n">
        <v>4891</v>
      </c>
      <c r="H335" s="19" t="n">
        <f aca="false">SUMIFS(Paradas!$E$2:$E$1973,Paradas!$A$2:$A$1973,A335,Paradas!$B$2:$B$1973,B335,Paradas!$C$2:$C$1973,C335)</f>
        <v>19</v>
      </c>
      <c r="I335" s="19" t="n">
        <f aca="false">D335-H335</f>
        <v>461</v>
      </c>
      <c r="J335" s="19" t="n">
        <f aca="false">I335*E335</f>
        <v>5532</v>
      </c>
      <c r="K335" s="16" t="n">
        <f aca="false">IF(D335=0,0,I335/D335)</f>
        <v>0.960416666666667</v>
      </c>
      <c r="L335" s="16" t="n">
        <f aca="false">IF(J335=0,0,F335/J335)</f>
        <v>0.911605206073753</v>
      </c>
      <c r="M335" s="16" t="n">
        <f aca="false">IF(F335=0,0,G335/F335)</f>
        <v>0.96985921078723</v>
      </c>
      <c r="N335" s="16" t="n">
        <f aca="false">K335*L335*M335</f>
        <v>0.849131944444445</v>
      </c>
      <c r="O335" s="19" t="n">
        <f aca="false">MONTH(A335)</f>
        <v>8</v>
      </c>
      <c r="P335" s="19" t="n">
        <f aca="false">INT((A335-DATE(2026,7,1))/7)+1</f>
        <v>6</v>
      </c>
    </row>
    <row r="336" customFormat="false" ht="15" hidden="false" customHeight="false" outlineLevel="0" collapsed="false">
      <c r="A336" s="25" t="n">
        <v>46241</v>
      </c>
      <c r="B336" s="26" t="s">
        <v>16</v>
      </c>
      <c r="C336" s="26" t="s">
        <v>73</v>
      </c>
      <c r="D336" s="26" t="n">
        <v>480</v>
      </c>
      <c r="E336" s="26" t="n">
        <v>12</v>
      </c>
      <c r="F336" s="26" t="n">
        <v>5011</v>
      </c>
      <c r="G336" s="26" t="n">
        <v>4928</v>
      </c>
      <c r="H336" s="19" t="n">
        <f aca="false">SUMIFS(Paradas!$E$2:$E$1973,Paradas!$A$2:$A$1973,A336,Paradas!$B$2:$B$1973,B336,Paradas!$C$2:$C$1973,C336)</f>
        <v>14</v>
      </c>
      <c r="I336" s="19" t="n">
        <f aca="false">D336-H336</f>
        <v>466</v>
      </c>
      <c r="J336" s="19" t="n">
        <f aca="false">I336*E336</f>
        <v>5592</v>
      </c>
      <c r="K336" s="16" t="n">
        <f aca="false">IF(D336=0,0,I336/D336)</f>
        <v>0.970833333333333</v>
      </c>
      <c r="L336" s="16" t="n">
        <f aca="false">IF(J336=0,0,F336/J336)</f>
        <v>0.896101573676681</v>
      </c>
      <c r="M336" s="16" t="n">
        <f aca="false">IF(F336=0,0,G336/F336)</f>
        <v>0.983436439832369</v>
      </c>
      <c r="N336" s="16" t="n">
        <f aca="false">K336*L336*M336</f>
        <v>0.855555555555556</v>
      </c>
      <c r="O336" s="19" t="n">
        <f aca="false">MONTH(A336)</f>
        <v>8</v>
      </c>
      <c r="P336" s="19" t="n">
        <f aca="false">INT((A336-DATE(2026,7,1))/7)+1</f>
        <v>6</v>
      </c>
    </row>
    <row r="337" customFormat="false" ht="15" hidden="false" customHeight="false" outlineLevel="0" collapsed="false">
      <c r="A337" s="25" t="n">
        <v>46241</v>
      </c>
      <c r="B337" s="26" t="s">
        <v>16</v>
      </c>
      <c r="C337" s="26" t="s">
        <v>74</v>
      </c>
      <c r="D337" s="26" t="n">
        <v>480</v>
      </c>
      <c r="E337" s="26" t="n">
        <v>12</v>
      </c>
      <c r="F337" s="26" t="n">
        <v>3941</v>
      </c>
      <c r="G337" s="26" t="n">
        <v>3838</v>
      </c>
      <c r="H337" s="19" t="n">
        <f aca="false">SUMIFS(Paradas!$E$2:$E$1973,Paradas!$A$2:$A$1973,A337,Paradas!$B$2:$B$1973,B337,Paradas!$C$2:$C$1973,C337)</f>
        <v>93</v>
      </c>
      <c r="I337" s="19" t="n">
        <f aca="false">D337-H337</f>
        <v>387</v>
      </c>
      <c r="J337" s="19" t="n">
        <f aca="false">I337*E337</f>
        <v>4644</v>
      </c>
      <c r="K337" s="16" t="n">
        <f aca="false">IF(D337=0,0,I337/D337)</f>
        <v>0.80625</v>
      </c>
      <c r="L337" s="16" t="n">
        <f aca="false">IF(J337=0,0,F337/J337)</f>
        <v>0.848621877691645</v>
      </c>
      <c r="M337" s="16" t="n">
        <f aca="false">IF(F337=0,0,G337/F337)</f>
        <v>0.973864501395585</v>
      </c>
      <c r="N337" s="16" t="n">
        <f aca="false">K337*L337*M337</f>
        <v>0.666319444444445</v>
      </c>
      <c r="O337" s="19" t="n">
        <f aca="false">MONTH(A337)</f>
        <v>8</v>
      </c>
      <c r="P337" s="19" t="n">
        <f aca="false">INT((A337-DATE(2026,7,1))/7)+1</f>
        <v>6</v>
      </c>
    </row>
    <row r="338" customFormat="false" ht="15" hidden="false" customHeight="false" outlineLevel="0" collapsed="false">
      <c r="A338" s="25" t="n">
        <v>46241</v>
      </c>
      <c r="B338" s="26" t="s">
        <v>17</v>
      </c>
      <c r="C338" s="26" t="s">
        <v>72</v>
      </c>
      <c r="D338" s="26" t="n">
        <v>480</v>
      </c>
      <c r="E338" s="26" t="n">
        <v>10</v>
      </c>
      <c r="F338" s="26" t="n">
        <v>4019</v>
      </c>
      <c r="G338" s="26" t="n">
        <v>3786</v>
      </c>
      <c r="H338" s="19" t="n">
        <f aca="false">SUMIFS(Paradas!$E$2:$E$1973,Paradas!$A$2:$A$1973,A338,Paradas!$B$2:$B$1973,B338,Paradas!$C$2:$C$1973,C338)</f>
        <v>47</v>
      </c>
      <c r="I338" s="19" t="n">
        <f aca="false">D338-H338</f>
        <v>433</v>
      </c>
      <c r="J338" s="19" t="n">
        <f aca="false">I338*E338</f>
        <v>4330</v>
      </c>
      <c r="K338" s="16" t="n">
        <f aca="false">IF(D338=0,0,I338/D338)</f>
        <v>0.902083333333333</v>
      </c>
      <c r="L338" s="16" t="n">
        <f aca="false">IF(J338=0,0,F338/J338)</f>
        <v>0.928175519630485</v>
      </c>
      <c r="M338" s="16" t="n">
        <f aca="false">IF(F338=0,0,G338/F338)</f>
        <v>0.942025379447624</v>
      </c>
      <c r="N338" s="16" t="n">
        <f aca="false">K338*L338*M338</f>
        <v>0.78875</v>
      </c>
      <c r="O338" s="19" t="n">
        <f aca="false">MONTH(A338)</f>
        <v>8</v>
      </c>
      <c r="P338" s="19" t="n">
        <f aca="false">INT((A338-DATE(2026,7,1))/7)+1</f>
        <v>6</v>
      </c>
    </row>
    <row r="339" customFormat="false" ht="15" hidden="false" customHeight="false" outlineLevel="0" collapsed="false">
      <c r="A339" s="25" t="n">
        <v>46241</v>
      </c>
      <c r="B339" s="26" t="s">
        <v>17</v>
      </c>
      <c r="C339" s="26" t="s">
        <v>73</v>
      </c>
      <c r="D339" s="26" t="n">
        <v>480</v>
      </c>
      <c r="E339" s="26" t="n">
        <v>10</v>
      </c>
      <c r="F339" s="26" t="n">
        <v>3527</v>
      </c>
      <c r="G339" s="26" t="n">
        <v>3401</v>
      </c>
      <c r="H339" s="19" t="n">
        <f aca="false">SUMIFS(Paradas!$E$2:$E$1973,Paradas!$A$2:$A$1973,A339,Paradas!$B$2:$B$1973,B339,Paradas!$C$2:$C$1973,C339)</f>
        <v>89</v>
      </c>
      <c r="I339" s="19" t="n">
        <f aca="false">D339-H339</f>
        <v>391</v>
      </c>
      <c r="J339" s="19" t="n">
        <f aca="false">I339*E339</f>
        <v>3910</v>
      </c>
      <c r="K339" s="16" t="n">
        <f aca="false">IF(D339=0,0,I339/D339)</f>
        <v>0.814583333333333</v>
      </c>
      <c r="L339" s="16" t="n">
        <f aca="false">IF(J339=0,0,F339/J339)</f>
        <v>0.902046035805627</v>
      </c>
      <c r="M339" s="16" t="n">
        <f aca="false">IF(F339=0,0,G339/F339)</f>
        <v>0.964275588318684</v>
      </c>
      <c r="N339" s="16" t="n">
        <f aca="false">K339*L339*M339</f>
        <v>0.708541666666667</v>
      </c>
      <c r="O339" s="19" t="n">
        <f aca="false">MONTH(A339)</f>
        <v>8</v>
      </c>
      <c r="P339" s="19" t="n">
        <f aca="false">INT((A339-DATE(2026,7,1))/7)+1</f>
        <v>6</v>
      </c>
    </row>
    <row r="340" customFormat="false" ht="15" hidden="false" customHeight="false" outlineLevel="0" collapsed="false">
      <c r="A340" s="25" t="n">
        <v>46241</v>
      </c>
      <c r="B340" s="26" t="s">
        <v>17</v>
      </c>
      <c r="C340" s="26" t="s">
        <v>74</v>
      </c>
      <c r="D340" s="26" t="n">
        <v>480</v>
      </c>
      <c r="E340" s="26" t="n">
        <v>10</v>
      </c>
      <c r="F340" s="26" t="n">
        <v>2360</v>
      </c>
      <c r="G340" s="26" t="n">
        <v>2231</v>
      </c>
      <c r="H340" s="19" t="n">
        <f aca="false">SUMIFS(Paradas!$E$2:$E$1973,Paradas!$A$2:$A$1973,A340,Paradas!$B$2:$B$1973,B340,Paradas!$C$2:$C$1973,C340)</f>
        <v>198</v>
      </c>
      <c r="I340" s="19" t="n">
        <f aca="false">D340-H340</f>
        <v>282</v>
      </c>
      <c r="J340" s="19" t="n">
        <f aca="false">I340*E340</f>
        <v>2820</v>
      </c>
      <c r="K340" s="16" t="n">
        <f aca="false">IF(D340=0,0,I340/D340)</f>
        <v>0.5875</v>
      </c>
      <c r="L340" s="16" t="n">
        <f aca="false">IF(J340=0,0,F340/J340)</f>
        <v>0.836879432624114</v>
      </c>
      <c r="M340" s="16" t="n">
        <f aca="false">IF(F340=0,0,G340/F340)</f>
        <v>0.945338983050847</v>
      </c>
      <c r="N340" s="16" t="n">
        <f aca="false">K340*L340*M340</f>
        <v>0.464791666666667</v>
      </c>
      <c r="O340" s="19" t="n">
        <f aca="false">MONTH(A340)</f>
        <v>8</v>
      </c>
      <c r="P340" s="19" t="n">
        <f aca="false">INT((A340-DATE(2026,7,1))/7)+1</f>
        <v>6</v>
      </c>
    </row>
    <row r="341" customFormat="false" ht="15" hidden="false" customHeight="false" outlineLevel="0" collapsed="false">
      <c r="A341" s="25" t="n">
        <v>46241</v>
      </c>
      <c r="B341" s="26" t="s">
        <v>18</v>
      </c>
      <c r="C341" s="26" t="s">
        <v>72</v>
      </c>
      <c r="D341" s="26" t="n">
        <v>480</v>
      </c>
      <c r="E341" s="26" t="n">
        <v>8</v>
      </c>
      <c r="F341" s="26" t="n">
        <v>2647</v>
      </c>
      <c r="G341" s="26" t="n">
        <v>2531</v>
      </c>
      <c r="H341" s="19" t="n">
        <f aca="false">SUMIFS(Paradas!$E$2:$E$1973,Paradas!$A$2:$A$1973,A341,Paradas!$B$2:$B$1973,B341,Paradas!$C$2:$C$1973,C341)</f>
        <v>127</v>
      </c>
      <c r="I341" s="19" t="n">
        <f aca="false">D341-H341</f>
        <v>353</v>
      </c>
      <c r="J341" s="19" t="n">
        <f aca="false">I341*E341</f>
        <v>2824</v>
      </c>
      <c r="K341" s="16" t="n">
        <f aca="false">IF(D341=0,0,I341/D341)</f>
        <v>0.735416666666667</v>
      </c>
      <c r="L341" s="16" t="n">
        <f aca="false">IF(J341=0,0,F341/J341)</f>
        <v>0.937322946175637</v>
      </c>
      <c r="M341" s="16" t="n">
        <f aca="false">IF(F341=0,0,G341/F341)</f>
        <v>0.956176803928976</v>
      </c>
      <c r="N341" s="16" t="n">
        <f aca="false">K341*L341*M341</f>
        <v>0.659114583333333</v>
      </c>
      <c r="O341" s="19" t="n">
        <f aca="false">MONTH(A341)</f>
        <v>8</v>
      </c>
      <c r="P341" s="19" t="n">
        <f aca="false">INT((A341-DATE(2026,7,1))/7)+1</f>
        <v>6</v>
      </c>
    </row>
    <row r="342" customFormat="false" ht="15" hidden="false" customHeight="false" outlineLevel="0" collapsed="false">
      <c r="A342" s="25" t="n">
        <v>46241</v>
      </c>
      <c r="B342" s="26" t="s">
        <v>18</v>
      </c>
      <c r="C342" s="26" t="s">
        <v>73</v>
      </c>
      <c r="D342" s="26" t="n">
        <v>480</v>
      </c>
      <c r="E342" s="26" t="n">
        <v>8</v>
      </c>
      <c r="F342" s="26" t="n">
        <v>2860</v>
      </c>
      <c r="G342" s="26" t="n">
        <v>2783</v>
      </c>
      <c r="H342" s="19" t="n">
        <f aca="false">SUMIFS(Paradas!$E$2:$E$1973,Paradas!$A$2:$A$1973,A342,Paradas!$B$2:$B$1973,B342,Paradas!$C$2:$C$1973,C342)</f>
        <v>84</v>
      </c>
      <c r="I342" s="19" t="n">
        <f aca="false">D342-H342</f>
        <v>396</v>
      </c>
      <c r="J342" s="19" t="n">
        <f aca="false">I342*E342</f>
        <v>3168</v>
      </c>
      <c r="K342" s="16" t="n">
        <f aca="false">IF(D342=0,0,I342/D342)</f>
        <v>0.825</v>
      </c>
      <c r="L342" s="16" t="n">
        <f aca="false">IF(J342=0,0,F342/J342)</f>
        <v>0.902777777777778</v>
      </c>
      <c r="M342" s="16" t="n">
        <f aca="false">IF(F342=0,0,G342/F342)</f>
        <v>0.973076923076923</v>
      </c>
      <c r="N342" s="16" t="n">
        <f aca="false">K342*L342*M342</f>
        <v>0.724739583333333</v>
      </c>
      <c r="O342" s="19" t="n">
        <f aca="false">MONTH(A342)</f>
        <v>8</v>
      </c>
      <c r="P342" s="19" t="n">
        <f aca="false">INT((A342-DATE(2026,7,1))/7)+1</f>
        <v>6</v>
      </c>
    </row>
    <row r="343" customFormat="false" ht="15" hidden="false" customHeight="false" outlineLevel="0" collapsed="false">
      <c r="A343" s="25" t="n">
        <v>46241</v>
      </c>
      <c r="B343" s="26" t="s">
        <v>18</v>
      </c>
      <c r="C343" s="26" t="s">
        <v>74</v>
      </c>
      <c r="D343" s="26" t="n">
        <v>480</v>
      </c>
      <c r="E343" s="26" t="n">
        <v>8</v>
      </c>
      <c r="F343" s="26" t="n">
        <v>2689</v>
      </c>
      <c r="G343" s="26" t="n">
        <v>2633</v>
      </c>
      <c r="H343" s="19" t="n">
        <f aca="false">SUMIFS(Paradas!$E$2:$E$1973,Paradas!$A$2:$A$1973,A343,Paradas!$B$2:$B$1973,B343,Paradas!$C$2:$C$1973,C343)</f>
        <v>73</v>
      </c>
      <c r="I343" s="19" t="n">
        <f aca="false">D343-H343</f>
        <v>407</v>
      </c>
      <c r="J343" s="19" t="n">
        <f aca="false">I343*E343</f>
        <v>3256</v>
      </c>
      <c r="K343" s="16" t="n">
        <f aca="false">IF(D343=0,0,I343/D343)</f>
        <v>0.847916666666667</v>
      </c>
      <c r="L343" s="16" t="n">
        <f aca="false">IF(J343=0,0,F343/J343)</f>
        <v>0.825859950859951</v>
      </c>
      <c r="M343" s="16" t="n">
        <f aca="false">IF(F343=0,0,G343/F343)</f>
        <v>0.979174414280402</v>
      </c>
      <c r="N343" s="16" t="n">
        <f aca="false">K343*L343*M343</f>
        <v>0.685677083333333</v>
      </c>
      <c r="O343" s="19" t="n">
        <f aca="false">MONTH(A343)</f>
        <v>8</v>
      </c>
      <c r="P343" s="19" t="n">
        <f aca="false">INT((A343-DATE(2026,7,1))/7)+1</f>
        <v>6</v>
      </c>
    </row>
    <row r="344" customFormat="false" ht="15" hidden="false" customHeight="false" outlineLevel="0" collapsed="false">
      <c r="A344" s="25" t="n">
        <v>46242</v>
      </c>
      <c r="B344" s="26" t="s">
        <v>16</v>
      </c>
      <c r="C344" s="26" t="s">
        <v>72</v>
      </c>
      <c r="D344" s="26" t="n">
        <v>480</v>
      </c>
      <c r="E344" s="26" t="n">
        <v>12</v>
      </c>
      <c r="F344" s="26" t="n">
        <v>4793</v>
      </c>
      <c r="G344" s="26" t="n">
        <v>4681</v>
      </c>
      <c r="H344" s="19" t="n">
        <f aca="false">SUMIFS(Paradas!$E$2:$E$1973,Paradas!$A$2:$A$1973,A344,Paradas!$B$2:$B$1973,B344,Paradas!$C$2:$C$1973,C344)</f>
        <v>60</v>
      </c>
      <c r="I344" s="19" t="n">
        <f aca="false">D344-H344</f>
        <v>420</v>
      </c>
      <c r="J344" s="19" t="n">
        <f aca="false">I344*E344</f>
        <v>5040</v>
      </c>
      <c r="K344" s="16" t="n">
        <f aca="false">IF(D344=0,0,I344/D344)</f>
        <v>0.875</v>
      </c>
      <c r="L344" s="16" t="n">
        <f aca="false">IF(J344=0,0,F344/J344)</f>
        <v>0.950992063492063</v>
      </c>
      <c r="M344" s="16" t="n">
        <f aca="false">IF(F344=0,0,G344/F344)</f>
        <v>0.976632589192573</v>
      </c>
      <c r="N344" s="16" t="n">
        <f aca="false">K344*L344*M344</f>
        <v>0.812673611111111</v>
      </c>
      <c r="O344" s="19" t="n">
        <f aca="false">MONTH(A344)</f>
        <v>8</v>
      </c>
      <c r="P344" s="19" t="n">
        <f aca="false">INT((A344-DATE(2026,7,1))/7)+1</f>
        <v>6</v>
      </c>
    </row>
    <row r="345" customFormat="false" ht="15" hidden="false" customHeight="false" outlineLevel="0" collapsed="false">
      <c r="A345" s="25" t="n">
        <v>46242</v>
      </c>
      <c r="B345" s="26" t="s">
        <v>16</v>
      </c>
      <c r="C345" s="26" t="s">
        <v>73</v>
      </c>
      <c r="D345" s="26" t="n">
        <v>480</v>
      </c>
      <c r="E345" s="26" t="n">
        <v>12</v>
      </c>
      <c r="F345" s="26" t="n">
        <v>4329</v>
      </c>
      <c r="G345" s="26" t="n">
        <v>4225</v>
      </c>
      <c r="H345" s="19" t="n">
        <f aca="false">SUMIFS(Paradas!$E$2:$E$1973,Paradas!$A$2:$A$1973,A345,Paradas!$B$2:$B$1973,B345,Paradas!$C$2:$C$1973,C345)</f>
        <v>79</v>
      </c>
      <c r="I345" s="19" t="n">
        <f aca="false">D345-H345</f>
        <v>401</v>
      </c>
      <c r="J345" s="19" t="n">
        <f aca="false">I345*E345</f>
        <v>4812</v>
      </c>
      <c r="K345" s="16" t="n">
        <f aca="false">IF(D345=0,0,I345/D345)</f>
        <v>0.835416666666667</v>
      </c>
      <c r="L345" s="16" t="n">
        <f aca="false">IF(J345=0,0,F345/J345)</f>
        <v>0.899625935162095</v>
      </c>
      <c r="M345" s="16" t="n">
        <f aca="false">IF(F345=0,0,G345/F345)</f>
        <v>0.975975975975976</v>
      </c>
      <c r="N345" s="16" t="n">
        <f aca="false">K345*L345*M345</f>
        <v>0.733506944444444</v>
      </c>
      <c r="O345" s="19" t="n">
        <f aca="false">MONTH(A345)</f>
        <v>8</v>
      </c>
      <c r="P345" s="19" t="n">
        <f aca="false">INT((A345-DATE(2026,7,1))/7)+1</f>
        <v>6</v>
      </c>
    </row>
    <row r="346" customFormat="false" ht="15" hidden="false" customHeight="false" outlineLevel="0" collapsed="false">
      <c r="A346" s="25" t="n">
        <v>46242</v>
      </c>
      <c r="B346" s="26" t="s">
        <v>16</v>
      </c>
      <c r="C346" s="26" t="s">
        <v>74</v>
      </c>
      <c r="D346" s="26" t="n">
        <v>480</v>
      </c>
      <c r="E346" s="26" t="n">
        <v>12</v>
      </c>
      <c r="F346" s="26" t="n">
        <v>4196</v>
      </c>
      <c r="G346" s="26" t="n">
        <v>4146</v>
      </c>
      <c r="H346" s="19" t="n">
        <f aca="false">SUMIFS(Paradas!$E$2:$E$1973,Paradas!$A$2:$A$1973,A346,Paradas!$B$2:$B$1973,B346,Paradas!$C$2:$C$1973,C346)</f>
        <v>52</v>
      </c>
      <c r="I346" s="19" t="n">
        <f aca="false">D346-H346</f>
        <v>428</v>
      </c>
      <c r="J346" s="19" t="n">
        <f aca="false">I346*E346</f>
        <v>5136</v>
      </c>
      <c r="K346" s="16" t="n">
        <f aca="false">IF(D346=0,0,I346/D346)</f>
        <v>0.891666666666667</v>
      </c>
      <c r="L346" s="16" t="n">
        <f aca="false">IF(J346=0,0,F346/J346)</f>
        <v>0.816978193146417</v>
      </c>
      <c r="M346" s="16" t="n">
        <f aca="false">IF(F346=0,0,G346/F346)</f>
        <v>0.988083889418494</v>
      </c>
      <c r="N346" s="16" t="n">
        <f aca="false">K346*L346*M346</f>
        <v>0.719791666666667</v>
      </c>
      <c r="O346" s="19" t="n">
        <f aca="false">MONTH(A346)</f>
        <v>8</v>
      </c>
      <c r="P346" s="19" t="n">
        <f aca="false">INT((A346-DATE(2026,7,1))/7)+1</f>
        <v>6</v>
      </c>
    </row>
    <row r="347" customFormat="false" ht="15" hidden="false" customHeight="false" outlineLevel="0" collapsed="false">
      <c r="A347" s="25" t="n">
        <v>46242</v>
      </c>
      <c r="B347" s="26" t="s">
        <v>17</v>
      </c>
      <c r="C347" s="26" t="s">
        <v>72</v>
      </c>
      <c r="D347" s="26" t="n">
        <v>480</v>
      </c>
      <c r="E347" s="26" t="n">
        <v>10</v>
      </c>
      <c r="F347" s="26" t="n">
        <v>3592</v>
      </c>
      <c r="G347" s="26" t="n">
        <v>3544</v>
      </c>
      <c r="H347" s="19" t="n">
        <f aca="false">SUMIFS(Paradas!$E$2:$E$1973,Paradas!$A$2:$A$1973,A347,Paradas!$B$2:$B$1973,B347,Paradas!$C$2:$C$1973,C347)</f>
        <v>75</v>
      </c>
      <c r="I347" s="19" t="n">
        <f aca="false">D347-H347</f>
        <v>405</v>
      </c>
      <c r="J347" s="19" t="n">
        <f aca="false">I347*E347</f>
        <v>4050</v>
      </c>
      <c r="K347" s="16" t="n">
        <f aca="false">IF(D347=0,0,I347/D347)</f>
        <v>0.84375</v>
      </c>
      <c r="L347" s="16" t="n">
        <f aca="false">IF(J347=0,0,F347/J347)</f>
        <v>0.886913580246914</v>
      </c>
      <c r="M347" s="16" t="n">
        <f aca="false">IF(F347=0,0,G347/F347)</f>
        <v>0.986636971046771</v>
      </c>
      <c r="N347" s="16" t="n">
        <f aca="false">K347*L347*M347</f>
        <v>0.738333333333333</v>
      </c>
      <c r="O347" s="19" t="n">
        <f aca="false">MONTH(A347)</f>
        <v>8</v>
      </c>
      <c r="P347" s="19" t="n">
        <f aca="false">INT((A347-DATE(2026,7,1))/7)+1</f>
        <v>6</v>
      </c>
    </row>
    <row r="348" customFormat="false" ht="15" hidden="false" customHeight="false" outlineLevel="0" collapsed="false">
      <c r="A348" s="25" t="n">
        <v>46242</v>
      </c>
      <c r="B348" s="26" t="s">
        <v>17</v>
      </c>
      <c r="C348" s="26" t="s">
        <v>73</v>
      </c>
      <c r="D348" s="26" t="n">
        <v>480</v>
      </c>
      <c r="E348" s="26" t="n">
        <v>10</v>
      </c>
      <c r="F348" s="26" t="n">
        <v>3409</v>
      </c>
      <c r="G348" s="26" t="n">
        <v>3260</v>
      </c>
      <c r="H348" s="19" t="n">
        <f aca="false">SUMIFS(Paradas!$E$2:$E$1973,Paradas!$A$2:$A$1973,A348,Paradas!$B$2:$B$1973,B348,Paradas!$C$2:$C$1973,C348)</f>
        <v>102</v>
      </c>
      <c r="I348" s="19" t="n">
        <f aca="false">D348-H348</f>
        <v>378</v>
      </c>
      <c r="J348" s="19" t="n">
        <f aca="false">I348*E348</f>
        <v>3780</v>
      </c>
      <c r="K348" s="16" t="n">
        <f aca="false">IF(D348=0,0,I348/D348)</f>
        <v>0.7875</v>
      </c>
      <c r="L348" s="16" t="n">
        <f aca="false">IF(J348=0,0,F348/J348)</f>
        <v>0.901851851851852</v>
      </c>
      <c r="M348" s="16" t="n">
        <f aca="false">IF(F348=0,0,G348/F348)</f>
        <v>0.956292167791141</v>
      </c>
      <c r="N348" s="16" t="n">
        <f aca="false">K348*L348*M348</f>
        <v>0.679166666666667</v>
      </c>
      <c r="O348" s="19" t="n">
        <f aca="false">MONTH(A348)</f>
        <v>8</v>
      </c>
      <c r="P348" s="19" t="n">
        <f aca="false">INT((A348-DATE(2026,7,1))/7)+1</f>
        <v>6</v>
      </c>
    </row>
    <row r="349" customFormat="false" ht="15" hidden="false" customHeight="false" outlineLevel="0" collapsed="false">
      <c r="A349" s="25" t="n">
        <v>46242</v>
      </c>
      <c r="B349" s="26" t="s">
        <v>17</v>
      </c>
      <c r="C349" s="26" t="s">
        <v>74</v>
      </c>
      <c r="D349" s="26" t="n">
        <v>480</v>
      </c>
      <c r="E349" s="26" t="n">
        <v>10</v>
      </c>
      <c r="F349" s="26" t="n">
        <v>3511</v>
      </c>
      <c r="G349" s="26" t="n">
        <v>3341</v>
      </c>
      <c r="H349" s="19" t="n">
        <f aca="false">SUMIFS(Paradas!$E$2:$E$1973,Paradas!$A$2:$A$1973,A349,Paradas!$B$2:$B$1973,B349,Paradas!$C$2:$C$1973,C349)</f>
        <v>19</v>
      </c>
      <c r="I349" s="19" t="n">
        <f aca="false">D349-H349</f>
        <v>461</v>
      </c>
      <c r="J349" s="19" t="n">
        <f aca="false">I349*E349</f>
        <v>4610</v>
      </c>
      <c r="K349" s="16" t="n">
        <f aca="false">IF(D349=0,0,I349/D349)</f>
        <v>0.960416666666667</v>
      </c>
      <c r="L349" s="16" t="n">
        <f aca="false">IF(J349=0,0,F349/J349)</f>
        <v>0.761605206073753</v>
      </c>
      <c r="M349" s="16" t="n">
        <f aca="false">IF(F349=0,0,G349/F349)</f>
        <v>0.951580746226146</v>
      </c>
      <c r="N349" s="16" t="n">
        <f aca="false">K349*L349*M349</f>
        <v>0.696041666666667</v>
      </c>
      <c r="O349" s="19" t="n">
        <f aca="false">MONTH(A349)</f>
        <v>8</v>
      </c>
      <c r="P349" s="19" t="n">
        <f aca="false">INT((A349-DATE(2026,7,1))/7)+1</f>
        <v>6</v>
      </c>
    </row>
    <row r="350" customFormat="false" ht="15" hidden="false" customHeight="false" outlineLevel="0" collapsed="false">
      <c r="A350" s="25" t="n">
        <v>46242</v>
      </c>
      <c r="B350" s="26" t="s">
        <v>18</v>
      </c>
      <c r="C350" s="26" t="s">
        <v>72</v>
      </c>
      <c r="D350" s="26" t="n">
        <v>480</v>
      </c>
      <c r="E350" s="26" t="n">
        <v>8</v>
      </c>
      <c r="F350" s="26" t="n">
        <v>2445</v>
      </c>
      <c r="G350" s="26" t="n">
        <v>2404</v>
      </c>
      <c r="H350" s="19" t="n">
        <f aca="false">SUMIFS(Paradas!$E$2:$E$1973,Paradas!$A$2:$A$1973,A350,Paradas!$B$2:$B$1973,B350,Paradas!$C$2:$C$1973,C350)</f>
        <v>152</v>
      </c>
      <c r="I350" s="19" t="n">
        <f aca="false">D350-H350</f>
        <v>328</v>
      </c>
      <c r="J350" s="19" t="n">
        <f aca="false">I350*E350</f>
        <v>2624</v>
      </c>
      <c r="K350" s="16" t="n">
        <f aca="false">IF(D350=0,0,I350/D350)</f>
        <v>0.683333333333333</v>
      </c>
      <c r="L350" s="16" t="n">
        <f aca="false">IF(J350=0,0,F350/J350)</f>
        <v>0.931783536585366</v>
      </c>
      <c r="M350" s="16" t="n">
        <f aca="false">IF(F350=0,0,G350/F350)</f>
        <v>0.983231083844581</v>
      </c>
      <c r="N350" s="16" t="n">
        <f aca="false">K350*L350*M350</f>
        <v>0.626041666666667</v>
      </c>
      <c r="O350" s="19" t="n">
        <f aca="false">MONTH(A350)</f>
        <v>8</v>
      </c>
      <c r="P350" s="19" t="n">
        <f aca="false">INT((A350-DATE(2026,7,1))/7)+1</f>
        <v>6</v>
      </c>
    </row>
    <row r="351" customFormat="false" ht="15" hidden="false" customHeight="false" outlineLevel="0" collapsed="false">
      <c r="A351" s="25" t="n">
        <v>46242</v>
      </c>
      <c r="B351" s="26" t="s">
        <v>18</v>
      </c>
      <c r="C351" s="26" t="s">
        <v>73</v>
      </c>
      <c r="D351" s="26" t="n">
        <v>480</v>
      </c>
      <c r="E351" s="26" t="n">
        <v>8</v>
      </c>
      <c r="F351" s="26" t="n">
        <v>2545</v>
      </c>
      <c r="G351" s="26" t="n">
        <v>2487</v>
      </c>
      <c r="H351" s="19" t="n">
        <f aca="false">SUMIFS(Paradas!$E$2:$E$1973,Paradas!$A$2:$A$1973,A351,Paradas!$B$2:$B$1973,B351,Paradas!$C$2:$C$1973,C351)</f>
        <v>117</v>
      </c>
      <c r="I351" s="19" t="n">
        <f aca="false">D351-H351</f>
        <v>363</v>
      </c>
      <c r="J351" s="19" t="n">
        <f aca="false">I351*E351</f>
        <v>2904</v>
      </c>
      <c r="K351" s="16" t="n">
        <f aca="false">IF(D351=0,0,I351/D351)</f>
        <v>0.75625</v>
      </c>
      <c r="L351" s="16" t="n">
        <f aca="false">IF(J351=0,0,F351/J351)</f>
        <v>0.87637741046832</v>
      </c>
      <c r="M351" s="16" t="n">
        <f aca="false">IF(F351=0,0,G351/F351)</f>
        <v>0.97721021611002</v>
      </c>
      <c r="N351" s="16" t="n">
        <f aca="false">K351*L351*M351</f>
        <v>0.64765625</v>
      </c>
      <c r="O351" s="19" t="n">
        <f aca="false">MONTH(A351)</f>
        <v>8</v>
      </c>
      <c r="P351" s="19" t="n">
        <f aca="false">INT((A351-DATE(2026,7,1))/7)+1</f>
        <v>6</v>
      </c>
    </row>
    <row r="352" customFormat="false" ht="15" hidden="false" customHeight="false" outlineLevel="0" collapsed="false">
      <c r="A352" s="25" t="n">
        <v>46242</v>
      </c>
      <c r="B352" s="26" t="s">
        <v>18</v>
      </c>
      <c r="C352" s="26" t="s">
        <v>74</v>
      </c>
      <c r="D352" s="26" t="n">
        <v>480</v>
      </c>
      <c r="E352" s="26" t="n">
        <v>8</v>
      </c>
      <c r="F352" s="26" t="n">
        <v>2912</v>
      </c>
      <c r="G352" s="26" t="n">
        <v>2822</v>
      </c>
      <c r="H352" s="19" t="n">
        <f aca="false">SUMIFS(Paradas!$E$2:$E$1973,Paradas!$A$2:$A$1973,A352,Paradas!$B$2:$B$1973,B352,Paradas!$C$2:$C$1973,C352)</f>
        <v>66</v>
      </c>
      <c r="I352" s="19" t="n">
        <f aca="false">D352-H352</f>
        <v>414</v>
      </c>
      <c r="J352" s="19" t="n">
        <f aca="false">I352*E352</f>
        <v>3312</v>
      </c>
      <c r="K352" s="16" t="n">
        <f aca="false">IF(D352=0,0,I352/D352)</f>
        <v>0.8625</v>
      </c>
      <c r="L352" s="16" t="n">
        <f aca="false">IF(J352=0,0,F352/J352)</f>
        <v>0.879227053140097</v>
      </c>
      <c r="M352" s="16" t="n">
        <f aca="false">IF(F352=0,0,G352/F352)</f>
        <v>0.969093406593407</v>
      </c>
      <c r="N352" s="16" t="n">
        <f aca="false">K352*L352*M352</f>
        <v>0.734895833333333</v>
      </c>
      <c r="O352" s="19" t="n">
        <f aca="false">MONTH(A352)</f>
        <v>8</v>
      </c>
      <c r="P352" s="19" t="n">
        <f aca="false">INT((A352-DATE(2026,7,1))/7)+1</f>
        <v>6</v>
      </c>
    </row>
    <row r="353" customFormat="false" ht="15" hidden="false" customHeight="false" outlineLevel="0" collapsed="false">
      <c r="A353" s="25" t="n">
        <v>46243</v>
      </c>
      <c r="B353" s="26" t="s">
        <v>16</v>
      </c>
      <c r="C353" s="26" t="s">
        <v>72</v>
      </c>
      <c r="D353" s="26" t="n">
        <v>480</v>
      </c>
      <c r="E353" s="26" t="n">
        <v>12</v>
      </c>
      <c r="F353" s="26" t="n">
        <v>5127</v>
      </c>
      <c r="G353" s="26" t="n">
        <v>4943</v>
      </c>
      <c r="H353" s="19" t="n">
        <f aca="false">SUMIFS(Paradas!$E$2:$E$1973,Paradas!$A$2:$A$1973,A353,Paradas!$B$2:$B$1973,B353,Paradas!$C$2:$C$1973,C353)</f>
        <v>0</v>
      </c>
      <c r="I353" s="19" t="n">
        <f aca="false">D353-H353</f>
        <v>480</v>
      </c>
      <c r="J353" s="19" t="n">
        <f aca="false">I353*E353</f>
        <v>5760</v>
      </c>
      <c r="K353" s="16" t="n">
        <f aca="false">IF(D353=0,0,I353/D353)</f>
        <v>1</v>
      </c>
      <c r="L353" s="16" t="n">
        <f aca="false">IF(J353=0,0,F353/J353)</f>
        <v>0.890104166666667</v>
      </c>
      <c r="M353" s="16" t="n">
        <f aca="false">IF(F353=0,0,G353/F353)</f>
        <v>0.964111566218061</v>
      </c>
      <c r="N353" s="16" t="n">
        <f aca="false">K353*L353*M353</f>
        <v>0.858159722222222</v>
      </c>
      <c r="O353" s="19" t="n">
        <f aca="false">MONTH(A353)</f>
        <v>8</v>
      </c>
      <c r="P353" s="19" t="n">
        <f aca="false">INT((A353-DATE(2026,7,1))/7)+1</f>
        <v>6</v>
      </c>
    </row>
    <row r="354" customFormat="false" ht="15" hidden="false" customHeight="false" outlineLevel="0" collapsed="false">
      <c r="A354" s="25" t="n">
        <v>46243</v>
      </c>
      <c r="B354" s="26" t="s">
        <v>16</v>
      </c>
      <c r="C354" s="26" t="s">
        <v>73</v>
      </c>
      <c r="D354" s="26" t="n">
        <v>480</v>
      </c>
      <c r="E354" s="26" t="n">
        <v>12</v>
      </c>
      <c r="F354" s="26" t="n">
        <v>4032</v>
      </c>
      <c r="G354" s="26" t="n">
        <v>3932</v>
      </c>
      <c r="H354" s="19" t="n">
        <f aca="false">SUMIFS(Paradas!$E$2:$E$1973,Paradas!$A$2:$A$1973,A354,Paradas!$B$2:$B$1973,B354,Paradas!$C$2:$C$1973,C354)</f>
        <v>128</v>
      </c>
      <c r="I354" s="19" t="n">
        <f aca="false">D354-H354</f>
        <v>352</v>
      </c>
      <c r="J354" s="19" t="n">
        <f aca="false">I354*E354</f>
        <v>4224</v>
      </c>
      <c r="K354" s="16" t="n">
        <f aca="false">IF(D354=0,0,I354/D354)</f>
        <v>0.733333333333333</v>
      </c>
      <c r="L354" s="16" t="n">
        <f aca="false">IF(J354=0,0,F354/J354)</f>
        <v>0.954545454545455</v>
      </c>
      <c r="M354" s="16" t="n">
        <f aca="false">IF(F354=0,0,G354/F354)</f>
        <v>0.975198412698413</v>
      </c>
      <c r="N354" s="16" t="n">
        <f aca="false">K354*L354*M354</f>
        <v>0.682638888888889</v>
      </c>
      <c r="O354" s="19" t="n">
        <f aca="false">MONTH(A354)</f>
        <v>8</v>
      </c>
      <c r="P354" s="19" t="n">
        <f aca="false">INT((A354-DATE(2026,7,1))/7)+1</f>
        <v>6</v>
      </c>
    </row>
    <row r="355" customFormat="false" ht="15" hidden="false" customHeight="false" outlineLevel="0" collapsed="false">
      <c r="A355" s="25" t="n">
        <v>46243</v>
      </c>
      <c r="B355" s="26" t="s">
        <v>16</v>
      </c>
      <c r="C355" s="26" t="s">
        <v>74</v>
      </c>
      <c r="D355" s="26" t="n">
        <v>480</v>
      </c>
      <c r="E355" s="26" t="n">
        <v>12</v>
      </c>
      <c r="F355" s="26" t="n">
        <v>2932</v>
      </c>
      <c r="G355" s="26" t="n">
        <v>2843</v>
      </c>
      <c r="H355" s="19" t="n">
        <f aca="false">SUMIFS(Paradas!$E$2:$E$1973,Paradas!$A$2:$A$1973,A355,Paradas!$B$2:$B$1973,B355,Paradas!$C$2:$C$1973,C355)</f>
        <v>189</v>
      </c>
      <c r="I355" s="19" t="n">
        <f aca="false">D355-H355</f>
        <v>291</v>
      </c>
      <c r="J355" s="19" t="n">
        <f aca="false">I355*E355</f>
        <v>3492</v>
      </c>
      <c r="K355" s="16" t="n">
        <f aca="false">IF(D355=0,0,I355/D355)</f>
        <v>0.60625</v>
      </c>
      <c r="L355" s="16" t="n">
        <f aca="false">IF(J355=0,0,F355/J355)</f>
        <v>0.839633447880871</v>
      </c>
      <c r="M355" s="16" t="n">
        <f aca="false">IF(F355=0,0,G355/F355)</f>
        <v>0.969645293315143</v>
      </c>
      <c r="N355" s="16" t="n">
        <f aca="false">K355*L355*M355</f>
        <v>0.493576388888889</v>
      </c>
      <c r="O355" s="19" t="n">
        <f aca="false">MONTH(A355)</f>
        <v>8</v>
      </c>
      <c r="P355" s="19" t="n">
        <f aca="false">INT((A355-DATE(2026,7,1))/7)+1</f>
        <v>6</v>
      </c>
    </row>
    <row r="356" customFormat="false" ht="15" hidden="false" customHeight="false" outlineLevel="0" collapsed="false">
      <c r="A356" s="25" t="n">
        <v>46243</v>
      </c>
      <c r="B356" s="26" t="s">
        <v>17</v>
      </c>
      <c r="C356" s="26" t="s">
        <v>72</v>
      </c>
      <c r="D356" s="26" t="n">
        <v>480</v>
      </c>
      <c r="E356" s="26" t="n">
        <v>10</v>
      </c>
      <c r="F356" s="26" t="n">
        <v>3893</v>
      </c>
      <c r="G356" s="26" t="n">
        <v>3725</v>
      </c>
      <c r="H356" s="19" t="n">
        <f aca="false">SUMIFS(Paradas!$E$2:$E$1973,Paradas!$A$2:$A$1973,A356,Paradas!$B$2:$B$1973,B356,Paradas!$C$2:$C$1973,C356)</f>
        <v>0</v>
      </c>
      <c r="I356" s="19" t="n">
        <f aca="false">D356-H356</f>
        <v>480</v>
      </c>
      <c r="J356" s="19" t="n">
        <f aca="false">I356*E356</f>
        <v>4800</v>
      </c>
      <c r="K356" s="16" t="n">
        <f aca="false">IF(D356=0,0,I356/D356)</f>
        <v>1</v>
      </c>
      <c r="L356" s="16" t="n">
        <f aca="false">IF(J356=0,0,F356/J356)</f>
        <v>0.811041666666667</v>
      </c>
      <c r="M356" s="16" t="n">
        <f aca="false">IF(F356=0,0,G356/F356)</f>
        <v>0.956845620344208</v>
      </c>
      <c r="N356" s="16" t="n">
        <f aca="false">K356*L356*M356</f>
        <v>0.776041666666667</v>
      </c>
      <c r="O356" s="19" t="n">
        <f aca="false">MONTH(A356)</f>
        <v>8</v>
      </c>
      <c r="P356" s="19" t="n">
        <f aca="false">INT((A356-DATE(2026,7,1))/7)+1</f>
        <v>6</v>
      </c>
    </row>
    <row r="357" customFormat="false" ht="15" hidden="false" customHeight="false" outlineLevel="0" collapsed="false">
      <c r="A357" s="25" t="n">
        <v>46243</v>
      </c>
      <c r="B357" s="26" t="s">
        <v>17</v>
      </c>
      <c r="C357" s="26" t="s">
        <v>73</v>
      </c>
      <c r="D357" s="26" t="n">
        <v>480</v>
      </c>
      <c r="E357" s="26" t="n">
        <v>10</v>
      </c>
      <c r="F357" s="26" t="n">
        <v>3332</v>
      </c>
      <c r="G357" s="26" t="n">
        <v>3180</v>
      </c>
      <c r="H357" s="19" t="n">
        <f aca="false">SUMIFS(Paradas!$E$2:$E$1973,Paradas!$A$2:$A$1973,A357,Paradas!$B$2:$B$1973,B357,Paradas!$C$2:$C$1973,C357)</f>
        <v>92</v>
      </c>
      <c r="I357" s="19" t="n">
        <f aca="false">D357-H357</f>
        <v>388</v>
      </c>
      <c r="J357" s="19" t="n">
        <f aca="false">I357*E357</f>
        <v>3880</v>
      </c>
      <c r="K357" s="16" t="n">
        <f aca="false">IF(D357=0,0,I357/D357)</f>
        <v>0.808333333333333</v>
      </c>
      <c r="L357" s="16" t="n">
        <f aca="false">IF(J357=0,0,F357/J357)</f>
        <v>0.858762886597938</v>
      </c>
      <c r="M357" s="16" t="n">
        <f aca="false">IF(F357=0,0,G357/F357)</f>
        <v>0.95438175270108</v>
      </c>
      <c r="N357" s="16" t="n">
        <f aca="false">K357*L357*M357</f>
        <v>0.6625</v>
      </c>
      <c r="O357" s="19" t="n">
        <f aca="false">MONTH(A357)</f>
        <v>8</v>
      </c>
      <c r="P357" s="19" t="n">
        <f aca="false">INT((A357-DATE(2026,7,1))/7)+1</f>
        <v>6</v>
      </c>
    </row>
    <row r="358" customFormat="false" ht="15" hidden="false" customHeight="false" outlineLevel="0" collapsed="false">
      <c r="A358" s="25" t="n">
        <v>46243</v>
      </c>
      <c r="B358" s="26" t="s">
        <v>17</v>
      </c>
      <c r="C358" s="26" t="s">
        <v>74</v>
      </c>
      <c r="D358" s="26" t="n">
        <v>480</v>
      </c>
      <c r="E358" s="26" t="n">
        <v>10</v>
      </c>
      <c r="F358" s="26" t="n">
        <v>2533</v>
      </c>
      <c r="G358" s="26" t="n">
        <v>2427</v>
      </c>
      <c r="H358" s="19" t="n">
        <f aca="false">SUMIFS(Paradas!$E$2:$E$1973,Paradas!$A$2:$A$1973,A358,Paradas!$B$2:$B$1973,B358,Paradas!$C$2:$C$1973,C358)</f>
        <v>208</v>
      </c>
      <c r="I358" s="19" t="n">
        <f aca="false">D358-H358</f>
        <v>272</v>
      </c>
      <c r="J358" s="19" t="n">
        <f aca="false">I358*E358</f>
        <v>2720</v>
      </c>
      <c r="K358" s="16" t="n">
        <f aca="false">IF(D358=0,0,I358/D358)</f>
        <v>0.566666666666667</v>
      </c>
      <c r="L358" s="16" t="n">
        <f aca="false">IF(J358=0,0,F358/J358)</f>
        <v>0.93125</v>
      </c>
      <c r="M358" s="16" t="n">
        <f aca="false">IF(F358=0,0,G358/F358)</f>
        <v>0.958152388472167</v>
      </c>
      <c r="N358" s="16" t="n">
        <f aca="false">K358*L358*M358</f>
        <v>0.505625</v>
      </c>
      <c r="O358" s="19" t="n">
        <f aca="false">MONTH(A358)</f>
        <v>8</v>
      </c>
      <c r="P358" s="19" t="n">
        <f aca="false">INT((A358-DATE(2026,7,1))/7)+1</f>
        <v>6</v>
      </c>
    </row>
    <row r="359" customFormat="false" ht="15" hidden="false" customHeight="false" outlineLevel="0" collapsed="false">
      <c r="A359" s="25" t="n">
        <v>46243</v>
      </c>
      <c r="B359" s="26" t="s">
        <v>18</v>
      </c>
      <c r="C359" s="26" t="s">
        <v>72</v>
      </c>
      <c r="D359" s="26" t="n">
        <v>480</v>
      </c>
      <c r="E359" s="26" t="n">
        <v>8</v>
      </c>
      <c r="F359" s="26" t="n">
        <v>2043</v>
      </c>
      <c r="G359" s="26" t="n">
        <v>1976</v>
      </c>
      <c r="H359" s="19" t="n">
        <f aca="false">SUMIFS(Paradas!$E$2:$E$1973,Paradas!$A$2:$A$1973,A359,Paradas!$B$2:$B$1973,B359,Paradas!$C$2:$C$1973,C359)</f>
        <v>197</v>
      </c>
      <c r="I359" s="19" t="n">
        <f aca="false">D359-H359</f>
        <v>283</v>
      </c>
      <c r="J359" s="19" t="n">
        <f aca="false">I359*E359</f>
        <v>2264</v>
      </c>
      <c r="K359" s="16" t="n">
        <f aca="false">IF(D359=0,0,I359/D359)</f>
        <v>0.589583333333333</v>
      </c>
      <c r="L359" s="16" t="n">
        <f aca="false">IF(J359=0,0,F359/J359)</f>
        <v>0.902385159010601</v>
      </c>
      <c r="M359" s="16" t="n">
        <f aca="false">IF(F359=0,0,G359/F359)</f>
        <v>0.967205090553108</v>
      </c>
      <c r="N359" s="16" t="n">
        <f aca="false">K359*L359*M359</f>
        <v>0.514583333333333</v>
      </c>
      <c r="O359" s="19" t="n">
        <f aca="false">MONTH(A359)</f>
        <v>8</v>
      </c>
      <c r="P359" s="19" t="n">
        <f aca="false">INT((A359-DATE(2026,7,1))/7)+1</f>
        <v>6</v>
      </c>
    </row>
    <row r="360" customFormat="false" ht="15" hidden="false" customHeight="false" outlineLevel="0" collapsed="false">
      <c r="A360" s="25" t="n">
        <v>46243</v>
      </c>
      <c r="B360" s="26" t="s">
        <v>18</v>
      </c>
      <c r="C360" s="26" t="s">
        <v>73</v>
      </c>
      <c r="D360" s="26" t="n">
        <v>480</v>
      </c>
      <c r="E360" s="26" t="n">
        <v>8</v>
      </c>
      <c r="F360" s="26" t="n">
        <v>3386</v>
      </c>
      <c r="G360" s="26" t="n">
        <v>3264</v>
      </c>
      <c r="H360" s="19" t="n">
        <f aca="false">SUMIFS(Paradas!$E$2:$E$1973,Paradas!$A$2:$A$1973,A360,Paradas!$B$2:$B$1973,B360,Paradas!$C$2:$C$1973,C360)</f>
        <v>20</v>
      </c>
      <c r="I360" s="19" t="n">
        <f aca="false">D360-H360</f>
        <v>460</v>
      </c>
      <c r="J360" s="19" t="n">
        <f aca="false">I360*E360</f>
        <v>3680</v>
      </c>
      <c r="K360" s="16" t="n">
        <f aca="false">IF(D360=0,0,I360/D360)</f>
        <v>0.958333333333333</v>
      </c>
      <c r="L360" s="16" t="n">
        <f aca="false">IF(J360=0,0,F360/J360)</f>
        <v>0.920108695652174</v>
      </c>
      <c r="M360" s="16" t="n">
        <f aca="false">IF(F360=0,0,G360/F360)</f>
        <v>0.96396928529238</v>
      </c>
      <c r="N360" s="16" t="n">
        <f aca="false">K360*L360*M360</f>
        <v>0.85</v>
      </c>
      <c r="O360" s="19" t="n">
        <f aca="false">MONTH(A360)</f>
        <v>8</v>
      </c>
      <c r="P360" s="19" t="n">
        <f aca="false">INT((A360-DATE(2026,7,1))/7)+1</f>
        <v>6</v>
      </c>
    </row>
    <row r="361" customFormat="false" ht="15" hidden="false" customHeight="false" outlineLevel="0" collapsed="false">
      <c r="A361" s="25" t="n">
        <v>46243</v>
      </c>
      <c r="B361" s="26" t="s">
        <v>18</v>
      </c>
      <c r="C361" s="26" t="s">
        <v>74</v>
      </c>
      <c r="D361" s="26" t="n">
        <v>480</v>
      </c>
      <c r="E361" s="26" t="n">
        <v>8</v>
      </c>
      <c r="F361" s="26" t="n">
        <v>2420</v>
      </c>
      <c r="G361" s="26" t="n">
        <v>2304</v>
      </c>
      <c r="H361" s="19" t="n">
        <f aca="false">SUMIFS(Paradas!$E$2:$E$1973,Paradas!$A$2:$A$1973,A361,Paradas!$B$2:$B$1973,B361,Paradas!$C$2:$C$1973,C361)</f>
        <v>138</v>
      </c>
      <c r="I361" s="19" t="n">
        <f aca="false">D361-H361</f>
        <v>342</v>
      </c>
      <c r="J361" s="19" t="n">
        <f aca="false">I361*E361</f>
        <v>2736</v>
      </c>
      <c r="K361" s="16" t="n">
        <f aca="false">IF(D361=0,0,I361/D361)</f>
        <v>0.7125</v>
      </c>
      <c r="L361" s="16" t="n">
        <f aca="false">IF(J361=0,0,F361/J361)</f>
        <v>0.884502923976608</v>
      </c>
      <c r="M361" s="16" t="n">
        <f aca="false">IF(F361=0,0,G361/F361)</f>
        <v>0.952066115702479</v>
      </c>
      <c r="N361" s="16" t="n">
        <f aca="false">K361*L361*M361</f>
        <v>0.6</v>
      </c>
      <c r="O361" s="19" t="n">
        <f aca="false">MONTH(A361)</f>
        <v>8</v>
      </c>
      <c r="P361" s="19" t="n">
        <f aca="false">INT((A361-DATE(2026,7,1))/7)+1</f>
        <v>6</v>
      </c>
    </row>
    <row r="362" customFormat="false" ht="15" hidden="false" customHeight="false" outlineLevel="0" collapsed="false">
      <c r="A362" s="25" t="n">
        <v>46244</v>
      </c>
      <c r="B362" s="26" t="s">
        <v>16</v>
      </c>
      <c r="C362" s="26" t="s">
        <v>72</v>
      </c>
      <c r="D362" s="26" t="n">
        <v>480</v>
      </c>
      <c r="E362" s="26" t="n">
        <v>12</v>
      </c>
      <c r="F362" s="26" t="n">
        <v>4690</v>
      </c>
      <c r="G362" s="26" t="n">
        <v>4598</v>
      </c>
      <c r="H362" s="19" t="n">
        <f aca="false">SUMIFS(Paradas!$E$2:$E$1973,Paradas!$A$2:$A$1973,A362,Paradas!$B$2:$B$1973,B362,Paradas!$C$2:$C$1973,C362)</f>
        <v>51</v>
      </c>
      <c r="I362" s="19" t="n">
        <f aca="false">D362-H362</f>
        <v>429</v>
      </c>
      <c r="J362" s="19" t="n">
        <f aca="false">I362*E362</f>
        <v>5148</v>
      </c>
      <c r="K362" s="16" t="n">
        <f aca="false">IF(D362=0,0,I362/D362)</f>
        <v>0.89375</v>
      </c>
      <c r="L362" s="16" t="n">
        <f aca="false">IF(J362=0,0,F362/J362)</f>
        <v>0.911033411033411</v>
      </c>
      <c r="M362" s="16" t="n">
        <f aca="false">IF(F362=0,0,G362/F362)</f>
        <v>0.980383795309168</v>
      </c>
      <c r="N362" s="16" t="n">
        <f aca="false">K362*L362*M362</f>
        <v>0.798263888888889</v>
      </c>
      <c r="O362" s="19" t="n">
        <f aca="false">MONTH(A362)</f>
        <v>8</v>
      </c>
      <c r="P362" s="19" t="n">
        <f aca="false">INT((A362-DATE(2026,7,1))/7)+1</f>
        <v>6</v>
      </c>
    </row>
    <row r="363" customFormat="false" ht="15" hidden="false" customHeight="false" outlineLevel="0" collapsed="false">
      <c r="A363" s="25" t="n">
        <v>46244</v>
      </c>
      <c r="B363" s="26" t="s">
        <v>16</v>
      </c>
      <c r="C363" s="26" t="s">
        <v>73</v>
      </c>
      <c r="D363" s="26" t="n">
        <v>480</v>
      </c>
      <c r="E363" s="26" t="n">
        <v>12</v>
      </c>
      <c r="F363" s="26" t="n">
        <v>4513</v>
      </c>
      <c r="G363" s="26" t="n">
        <v>4395</v>
      </c>
      <c r="H363" s="19" t="n">
        <f aca="false">SUMIFS(Paradas!$E$2:$E$1973,Paradas!$A$2:$A$1973,A363,Paradas!$B$2:$B$1973,B363,Paradas!$C$2:$C$1973,C363)</f>
        <v>42</v>
      </c>
      <c r="I363" s="19" t="n">
        <f aca="false">D363-H363</f>
        <v>438</v>
      </c>
      <c r="J363" s="19" t="n">
        <f aca="false">I363*E363</f>
        <v>5256</v>
      </c>
      <c r="K363" s="16" t="n">
        <f aca="false">IF(D363=0,0,I363/D363)</f>
        <v>0.9125</v>
      </c>
      <c r="L363" s="16" t="n">
        <f aca="false">IF(J363=0,0,F363/J363)</f>
        <v>0.858637747336377</v>
      </c>
      <c r="M363" s="16" t="n">
        <f aca="false">IF(F363=0,0,G363/F363)</f>
        <v>0.973853312652338</v>
      </c>
      <c r="N363" s="16" t="n">
        <f aca="false">K363*L363*M363</f>
        <v>0.763020833333333</v>
      </c>
      <c r="O363" s="19" t="n">
        <f aca="false">MONTH(A363)</f>
        <v>8</v>
      </c>
      <c r="P363" s="19" t="n">
        <f aca="false">INT((A363-DATE(2026,7,1))/7)+1</f>
        <v>6</v>
      </c>
    </row>
    <row r="364" customFormat="false" ht="15" hidden="false" customHeight="false" outlineLevel="0" collapsed="false">
      <c r="A364" s="25" t="n">
        <v>46244</v>
      </c>
      <c r="B364" s="26" t="s">
        <v>16</v>
      </c>
      <c r="C364" s="26" t="s">
        <v>74</v>
      </c>
      <c r="D364" s="26" t="n">
        <v>480</v>
      </c>
      <c r="E364" s="26" t="n">
        <v>12</v>
      </c>
      <c r="F364" s="26" t="n">
        <v>4812</v>
      </c>
      <c r="G364" s="26" t="n">
        <v>4652</v>
      </c>
      <c r="H364" s="19" t="n">
        <f aca="false">SUMIFS(Paradas!$E$2:$E$1973,Paradas!$A$2:$A$1973,A364,Paradas!$B$2:$B$1973,B364,Paradas!$C$2:$C$1973,C364)</f>
        <v>0</v>
      </c>
      <c r="I364" s="19" t="n">
        <f aca="false">D364-H364</f>
        <v>480</v>
      </c>
      <c r="J364" s="19" t="n">
        <f aca="false">I364*E364</f>
        <v>5760</v>
      </c>
      <c r="K364" s="16" t="n">
        <f aca="false">IF(D364=0,0,I364/D364)</f>
        <v>1</v>
      </c>
      <c r="L364" s="16" t="n">
        <f aca="false">IF(J364=0,0,F364/J364)</f>
        <v>0.835416666666667</v>
      </c>
      <c r="M364" s="16" t="n">
        <f aca="false">IF(F364=0,0,G364/F364)</f>
        <v>0.966749792186201</v>
      </c>
      <c r="N364" s="16" t="n">
        <f aca="false">K364*L364*M364</f>
        <v>0.807638888888889</v>
      </c>
      <c r="O364" s="19" t="n">
        <f aca="false">MONTH(A364)</f>
        <v>8</v>
      </c>
      <c r="P364" s="19" t="n">
        <f aca="false">INT((A364-DATE(2026,7,1))/7)+1</f>
        <v>6</v>
      </c>
    </row>
    <row r="365" customFormat="false" ht="15" hidden="false" customHeight="false" outlineLevel="0" collapsed="false">
      <c r="A365" s="25" t="n">
        <v>46244</v>
      </c>
      <c r="B365" s="26" t="s">
        <v>17</v>
      </c>
      <c r="C365" s="26" t="s">
        <v>72</v>
      </c>
      <c r="D365" s="26" t="n">
        <v>480</v>
      </c>
      <c r="E365" s="26" t="n">
        <v>10</v>
      </c>
      <c r="F365" s="26" t="n">
        <v>4359</v>
      </c>
      <c r="G365" s="26" t="n">
        <v>4179</v>
      </c>
      <c r="H365" s="19" t="n">
        <f aca="false">SUMIFS(Paradas!$E$2:$E$1973,Paradas!$A$2:$A$1973,A365,Paradas!$B$2:$B$1973,B365,Paradas!$C$2:$C$1973,C365)</f>
        <v>0</v>
      </c>
      <c r="I365" s="19" t="n">
        <f aca="false">D365-H365</f>
        <v>480</v>
      </c>
      <c r="J365" s="19" t="n">
        <f aca="false">I365*E365</f>
        <v>4800</v>
      </c>
      <c r="K365" s="16" t="n">
        <f aca="false">IF(D365=0,0,I365/D365)</f>
        <v>1</v>
      </c>
      <c r="L365" s="16" t="n">
        <f aca="false">IF(J365=0,0,F365/J365)</f>
        <v>0.908125</v>
      </c>
      <c r="M365" s="16" t="n">
        <f aca="false">IF(F365=0,0,G365/F365)</f>
        <v>0.958706125258087</v>
      </c>
      <c r="N365" s="16" t="n">
        <f aca="false">K365*L365*M365</f>
        <v>0.870625</v>
      </c>
      <c r="O365" s="19" t="n">
        <f aca="false">MONTH(A365)</f>
        <v>8</v>
      </c>
      <c r="P365" s="19" t="n">
        <f aca="false">INT((A365-DATE(2026,7,1))/7)+1</f>
        <v>6</v>
      </c>
    </row>
    <row r="366" customFormat="false" ht="15" hidden="false" customHeight="false" outlineLevel="0" collapsed="false">
      <c r="A366" s="25" t="n">
        <v>46244</v>
      </c>
      <c r="B366" s="26" t="s">
        <v>17</v>
      </c>
      <c r="C366" s="26" t="s">
        <v>73</v>
      </c>
      <c r="D366" s="26" t="n">
        <v>480</v>
      </c>
      <c r="E366" s="26" t="n">
        <v>10</v>
      </c>
      <c r="F366" s="26" t="n">
        <v>3540</v>
      </c>
      <c r="G366" s="26" t="n">
        <v>3372</v>
      </c>
      <c r="H366" s="19" t="n">
        <f aca="false">SUMIFS(Paradas!$E$2:$E$1973,Paradas!$A$2:$A$1973,A366,Paradas!$B$2:$B$1973,B366,Paradas!$C$2:$C$1973,C366)</f>
        <v>82</v>
      </c>
      <c r="I366" s="19" t="n">
        <f aca="false">D366-H366</f>
        <v>398</v>
      </c>
      <c r="J366" s="19" t="n">
        <f aca="false">I366*E366</f>
        <v>3980</v>
      </c>
      <c r="K366" s="16" t="n">
        <f aca="false">IF(D366=0,0,I366/D366)</f>
        <v>0.829166666666667</v>
      </c>
      <c r="L366" s="16" t="n">
        <f aca="false">IF(J366=0,0,F366/J366)</f>
        <v>0.889447236180905</v>
      </c>
      <c r="M366" s="16" t="n">
        <f aca="false">IF(F366=0,0,G366/F366)</f>
        <v>0.952542372881356</v>
      </c>
      <c r="N366" s="16" t="n">
        <f aca="false">K366*L366*M366</f>
        <v>0.7025</v>
      </c>
      <c r="O366" s="19" t="n">
        <f aca="false">MONTH(A366)</f>
        <v>8</v>
      </c>
      <c r="P366" s="19" t="n">
        <f aca="false">INT((A366-DATE(2026,7,1))/7)+1</f>
        <v>6</v>
      </c>
    </row>
    <row r="367" customFormat="false" ht="15" hidden="false" customHeight="false" outlineLevel="0" collapsed="false">
      <c r="A367" s="25" t="n">
        <v>46244</v>
      </c>
      <c r="B367" s="26" t="s">
        <v>17</v>
      </c>
      <c r="C367" s="26" t="s">
        <v>74</v>
      </c>
      <c r="D367" s="26" t="n">
        <v>480</v>
      </c>
      <c r="E367" s="26" t="n">
        <v>10</v>
      </c>
      <c r="F367" s="26" t="n">
        <v>3815</v>
      </c>
      <c r="G367" s="26" t="n">
        <v>3665</v>
      </c>
      <c r="H367" s="19" t="n">
        <f aca="false">SUMIFS(Paradas!$E$2:$E$1973,Paradas!$A$2:$A$1973,A367,Paradas!$B$2:$B$1973,B367,Paradas!$C$2:$C$1973,C367)</f>
        <v>17</v>
      </c>
      <c r="I367" s="19" t="n">
        <f aca="false">D367-H367</f>
        <v>463</v>
      </c>
      <c r="J367" s="19" t="n">
        <f aca="false">I367*E367</f>
        <v>4630</v>
      </c>
      <c r="K367" s="16" t="n">
        <f aca="false">IF(D367=0,0,I367/D367)</f>
        <v>0.964583333333333</v>
      </c>
      <c r="L367" s="16" t="n">
        <f aca="false">IF(J367=0,0,F367/J367)</f>
        <v>0.823974082073434</v>
      </c>
      <c r="M367" s="16" t="n">
        <f aca="false">IF(F367=0,0,G367/F367)</f>
        <v>0.960681520314548</v>
      </c>
      <c r="N367" s="16" t="n">
        <f aca="false">K367*L367*M367</f>
        <v>0.763541666666667</v>
      </c>
      <c r="O367" s="19" t="n">
        <f aca="false">MONTH(A367)</f>
        <v>8</v>
      </c>
      <c r="P367" s="19" t="n">
        <f aca="false">INT((A367-DATE(2026,7,1))/7)+1</f>
        <v>6</v>
      </c>
    </row>
    <row r="368" customFormat="false" ht="15" hidden="false" customHeight="false" outlineLevel="0" collapsed="false">
      <c r="A368" s="25" t="n">
        <v>46244</v>
      </c>
      <c r="B368" s="26" t="s">
        <v>18</v>
      </c>
      <c r="C368" s="26" t="s">
        <v>72</v>
      </c>
      <c r="D368" s="26" t="n">
        <v>480</v>
      </c>
      <c r="E368" s="26" t="n">
        <v>8</v>
      </c>
      <c r="F368" s="26" t="n">
        <v>2257</v>
      </c>
      <c r="G368" s="26" t="n">
        <v>2232</v>
      </c>
      <c r="H368" s="19" t="n">
        <f aca="false">SUMIFS(Paradas!$E$2:$E$1973,Paradas!$A$2:$A$1973,A368,Paradas!$B$2:$B$1973,B368,Paradas!$C$2:$C$1973,C368)</f>
        <v>150</v>
      </c>
      <c r="I368" s="19" t="n">
        <f aca="false">D368-H368</f>
        <v>330</v>
      </c>
      <c r="J368" s="19" t="n">
        <f aca="false">I368*E368</f>
        <v>2640</v>
      </c>
      <c r="K368" s="16" t="n">
        <f aca="false">IF(D368=0,0,I368/D368)</f>
        <v>0.6875</v>
      </c>
      <c r="L368" s="16" t="n">
        <f aca="false">IF(J368=0,0,F368/J368)</f>
        <v>0.854924242424243</v>
      </c>
      <c r="M368" s="16" t="n">
        <f aca="false">IF(F368=0,0,G368/F368)</f>
        <v>0.988923349579087</v>
      </c>
      <c r="N368" s="16" t="n">
        <f aca="false">K368*L368*M368</f>
        <v>0.58125</v>
      </c>
      <c r="O368" s="19" t="n">
        <f aca="false">MONTH(A368)</f>
        <v>8</v>
      </c>
      <c r="P368" s="19" t="n">
        <f aca="false">INT((A368-DATE(2026,7,1))/7)+1</f>
        <v>6</v>
      </c>
    </row>
    <row r="369" customFormat="false" ht="15" hidden="false" customHeight="false" outlineLevel="0" collapsed="false">
      <c r="A369" s="25" t="n">
        <v>46244</v>
      </c>
      <c r="B369" s="26" t="s">
        <v>18</v>
      </c>
      <c r="C369" s="26" t="s">
        <v>73</v>
      </c>
      <c r="D369" s="26" t="n">
        <v>480</v>
      </c>
      <c r="E369" s="26" t="n">
        <v>8</v>
      </c>
      <c r="F369" s="26" t="n">
        <v>2668</v>
      </c>
      <c r="G369" s="26" t="n">
        <v>2622</v>
      </c>
      <c r="H369" s="19" t="n">
        <f aca="false">SUMIFS(Paradas!$E$2:$E$1973,Paradas!$A$2:$A$1973,A369,Paradas!$B$2:$B$1973,B369,Paradas!$C$2:$C$1973,C369)</f>
        <v>85</v>
      </c>
      <c r="I369" s="19" t="n">
        <f aca="false">D369-H369</f>
        <v>395</v>
      </c>
      <c r="J369" s="19" t="n">
        <f aca="false">I369*E369</f>
        <v>3160</v>
      </c>
      <c r="K369" s="16" t="n">
        <f aca="false">IF(D369=0,0,I369/D369)</f>
        <v>0.822916666666667</v>
      </c>
      <c r="L369" s="16" t="n">
        <f aca="false">IF(J369=0,0,F369/J369)</f>
        <v>0.844303797468354</v>
      </c>
      <c r="M369" s="16" t="n">
        <f aca="false">IF(F369=0,0,G369/F369)</f>
        <v>0.982758620689655</v>
      </c>
      <c r="N369" s="16" t="n">
        <f aca="false">K369*L369*M369</f>
        <v>0.6828125</v>
      </c>
      <c r="O369" s="19" t="n">
        <f aca="false">MONTH(A369)</f>
        <v>8</v>
      </c>
      <c r="P369" s="19" t="n">
        <f aca="false">INT((A369-DATE(2026,7,1))/7)+1</f>
        <v>6</v>
      </c>
    </row>
    <row r="370" customFormat="false" ht="15" hidden="false" customHeight="false" outlineLevel="0" collapsed="false">
      <c r="A370" s="25" t="n">
        <v>46244</v>
      </c>
      <c r="B370" s="26" t="s">
        <v>18</v>
      </c>
      <c r="C370" s="26" t="s">
        <v>74</v>
      </c>
      <c r="D370" s="26" t="n">
        <v>480</v>
      </c>
      <c r="E370" s="26" t="n">
        <v>8</v>
      </c>
      <c r="F370" s="26" t="n">
        <v>2101</v>
      </c>
      <c r="G370" s="26" t="n">
        <v>2054</v>
      </c>
      <c r="H370" s="19" t="n">
        <f aca="false">SUMIFS(Paradas!$E$2:$E$1973,Paradas!$A$2:$A$1973,A370,Paradas!$B$2:$B$1973,B370,Paradas!$C$2:$C$1973,C370)</f>
        <v>174</v>
      </c>
      <c r="I370" s="19" t="n">
        <f aca="false">D370-H370</f>
        <v>306</v>
      </c>
      <c r="J370" s="19" t="n">
        <f aca="false">I370*E370</f>
        <v>2448</v>
      </c>
      <c r="K370" s="16" t="n">
        <f aca="false">IF(D370=0,0,I370/D370)</f>
        <v>0.6375</v>
      </c>
      <c r="L370" s="16" t="n">
        <f aca="false">IF(J370=0,0,F370/J370)</f>
        <v>0.858251633986928</v>
      </c>
      <c r="M370" s="16" t="n">
        <f aca="false">IF(F370=0,0,G370/F370)</f>
        <v>0.977629700142789</v>
      </c>
      <c r="N370" s="16" t="n">
        <f aca="false">K370*L370*M370</f>
        <v>0.534895833333333</v>
      </c>
      <c r="O370" s="19" t="n">
        <f aca="false">MONTH(A370)</f>
        <v>8</v>
      </c>
      <c r="P370" s="19" t="n">
        <f aca="false">INT((A370-DATE(2026,7,1))/7)+1</f>
        <v>6</v>
      </c>
    </row>
    <row r="371" customFormat="false" ht="15" hidden="false" customHeight="false" outlineLevel="0" collapsed="false">
      <c r="A371" s="25" t="n">
        <v>46245</v>
      </c>
      <c r="B371" s="26" t="s">
        <v>16</v>
      </c>
      <c r="C371" s="26" t="s">
        <v>72</v>
      </c>
      <c r="D371" s="26" t="n">
        <v>480</v>
      </c>
      <c r="E371" s="26" t="n">
        <v>12</v>
      </c>
      <c r="F371" s="26" t="n">
        <v>5154</v>
      </c>
      <c r="G371" s="26" t="n">
        <v>5144</v>
      </c>
      <c r="H371" s="19" t="n">
        <f aca="false">SUMIFS(Paradas!$E$2:$E$1973,Paradas!$A$2:$A$1973,A371,Paradas!$B$2:$B$1973,B371,Paradas!$C$2:$C$1973,C371)</f>
        <v>0</v>
      </c>
      <c r="I371" s="19" t="n">
        <f aca="false">D371-H371</f>
        <v>480</v>
      </c>
      <c r="J371" s="19" t="n">
        <f aca="false">I371*E371</f>
        <v>5760</v>
      </c>
      <c r="K371" s="16" t="n">
        <f aca="false">IF(D371=0,0,I371/D371)</f>
        <v>1</v>
      </c>
      <c r="L371" s="16" t="n">
        <f aca="false">IF(J371=0,0,F371/J371)</f>
        <v>0.894791666666667</v>
      </c>
      <c r="M371" s="16" t="n">
        <f aca="false">IF(F371=0,0,G371/F371)</f>
        <v>0.998059759410167</v>
      </c>
      <c r="N371" s="16" t="n">
        <f aca="false">K371*L371*M371</f>
        <v>0.893055555555556</v>
      </c>
      <c r="O371" s="19" t="n">
        <f aca="false">MONTH(A371)</f>
        <v>8</v>
      </c>
      <c r="P371" s="19" t="n">
        <f aca="false">INT((A371-DATE(2026,7,1))/7)+1</f>
        <v>6</v>
      </c>
    </row>
    <row r="372" customFormat="false" ht="15" hidden="false" customHeight="false" outlineLevel="0" collapsed="false">
      <c r="A372" s="25" t="n">
        <v>46245</v>
      </c>
      <c r="B372" s="26" t="s">
        <v>16</v>
      </c>
      <c r="C372" s="26" t="s">
        <v>73</v>
      </c>
      <c r="D372" s="26" t="n">
        <v>480</v>
      </c>
      <c r="E372" s="26" t="n">
        <v>12</v>
      </c>
      <c r="F372" s="26" t="n">
        <v>4657</v>
      </c>
      <c r="G372" s="26" t="n">
        <v>4553</v>
      </c>
      <c r="H372" s="19" t="n">
        <f aca="false">SUMIFS(Paradas!$E$2:$E$1973,Paradas!$A$2:$A$1973,A372,Paradas!$B$2:$B$1973,B372,Paradas!$C$2:$C$1973,C372)</f>
        <v>18</v>
      </c>
      <c r="I372" s="19" t="n">
        <f aca="false">D372-H372</f>
        <v>462</v>
      </c>
      <c r="J372" s="19" t="n">
        <f aca="false">I372*E372</f>
        <v>5544</v>
      </c>
      <c r="K372" s="16" t="n">
        <f aca="false">IF(D372=0,0,I372/D372)</f>
        <v>0.9625</v>
      </c>
      <c r="L372" s="16" t="n">
        <f aca="false">IF(J372=0,0,F372/J372)</f>
        <v>0.840007215007215</v>
      </c>
      <c r="M372" s="16" t="n">
        <f aca="false">IF(F372=0,0,G372/F372)</f>
        <v>0.977668026626584</v>
      </c>
      <c r="N372" s="16" t="n">
        <f aca="false">K372*L372*M372</f>
        <v>0.790451388888889</v>
      </c>
      <c r="O372" s="19" t="n">
        <f aca="false">MONTH(A372)</f>
        <v>8</v>
      </c>
      <c r="P372" s="19" t="n">
        <f aca="false">INT((A372-DATE(2026,7,1))/7)+1</f>
        <v>6</v>
      </c>
    </row>
    <row r="373" customFormat="false" ht="15" hidden="false" customHeight="false" outlineLevel="0" collapsed="false">
      <c r="A373" s="25" t="n">
        <v>46245</v>
      </c>
      <c r="B373" s="26" t="s">
        <v>16</v>
      </c>
      <c r="C373" s="26" t="s">
        <v>74</v>
      </c>
      <c r="D373" s="26" t="n">
        <v>480</v>
      </c>
      <c r="E373" s="26" t="n">
        <v>12</v>
      </c>
      <c r="F373" s="26" t="n">
        <v>4507</v>
      </c>
      <c r="G373" s="26" t="n">
        <v>4372</v>
      </c>
      <c r="H373" s="19" t="n">
        <f aca="false">SUMIFS(Paradas!$E$2:$E$1973,Paradas!$A$2:$A$1973,A373,Paradas!$B$2:$B$1973,B373,Paradas!$C$2:$C$1973,C373)</f>
        <v>49</v>
      </c>
      <c r="I373" s="19" t="n">
        <f aca="false">D373-H373</f>
        <v>431</v>
      </c>
      <c r="J373" s="19" t="n">
        <f aca="false">I373*E373</f>
        <v>5172</v>
      </c>
      <c r="K373" s="16" t="n">
        <f aca="false">IF(D373=0,0,I373/D373)</f>
        <v>0.897916666666667</v>
      </c>
      <c r="L373" s="16" t="n">
        <f aca="false">IF(J373=0,0,F373/J373)</f>
        <v>0.871423047177108</v>
      </c>
      <c r="M373" s="16" t="n">
        <f aca="false">IF(F373=0,0,G373/F373)</f>
        <v>0.970046594186821</v>
      </c>
      <c r="N373" s="16" t="n">
        <f aca="false">K373*L373*M373</f>
        <v>0.759027777777778</v>
      </c>
      <c r="O373" s="19" t="n">
        <f aca="false">MONTH(A373)</f>
        <v>8</v>
      </c>
      <c r="P373" s="19" t="n">
        <f aca="false">INT((A373-DATE(2026,7,1))/7)+1</f>
        <v>6</v>
      </c>
    </row>
    <row r="374" customFormat="false" ht="15" hidden="false" customHeight="false" outlineLevel="0" collapsed="false">
      <c r="A374" s="25" t="n">
        <v>46245</v>
      </c>
      <c r="B374" s="26" t="s">
        <v>17</v>
      </c>
      <c r="C374" s="26" t="s">
        <v>72</v>
      </c>
      <c r="D374" s="26" t="n">
        <v>480</v>
      </c>
      <c r="E374" s="26" t="n">
        <v>10</v>
      </c>
      <c r="F374" s="26" t="n">
        <v>3616</v>
      </c>
      <c r="G374" s="26" t="n">
        <v>3435</v>
      </c>
      <c r="H374" s="19" t="n">
        <f aca="false">SUMIFS(Paradas!$E$2:$E$1973,Paradas!$A$2:$A$1973,A374,Paradas!$B$2:$B$1973,B374,Paradas!$C$2:$C$1973,C374)</f>
        <v>97</v>
      </c>
      <c r="I374" s="19" t="n">
        <f aca="false">D374-H374</f>
        <v>383</v>
      </c>
      <c r="J374" s="19" t="n">
        <f aca="false">I374*E374</f>
        <v>3830</v>
      </c>
      <c r="K374" s="16" t="n">
        <f aca="false">IF(D374=0,0,I374/D374)</f>
        <v>0.797916666666667</v>
      </c>
      <c r="L374" s="16" t="n">
        <f aca="false">IF(J374=0,0,F374/J374)</f>
        <v>0.944125326370757</v>
      </c>
      <c r="M374" s="16" t="n">
        <f aca="false">IF(F374=0,0,G374/F374)</f>
        <v>0.949944690265487</v>
      </c>
      <c r="N374" s="16" t="n">
        <f aca="false">K374*L374*M374</f>
        <v>0.715625</v>
      </c>
      <c r="O374" s="19" t="n">
        <f aca="false">MONTH(A374)</f>
        <v>8</v>
      </c>
      <c r="P374" s="19" t="n">
        <f aca="false">INT((A374-DATE(2026,7,1))/7)+1</f>
        <v>6</v>
      </c>
    </row>
    <row r="375" customFormat="false" ht="15" hidden="false" customHeight="false" outlineLevel="0" collapsed="false">
      <c r="A375" s="25" t="n">
        <v>46245</v>
      </c>
      <c r="B375" s="26" t="s">
        <v>17</v>
      </c>
      <c r="C375" s="26" t="s">
        <v>73</v>
      </c>
      <c r="D375" s="26" t="n">
        <v>480</v>
      </c>
      <c r="E375" s="26" t="n">
        <v>10</v>
      </c>
      <c r="F375" s="26" t="n">
        <v>2824</v>
      </c>
      <c r="G375" s="26" t="n">
        <v>2686</v>
      </c>
      <c r="H375" s="19" t="n">
        <f aca="false">SUMIFS(Paradas!$E$2:$E$1973,Paradas!$A$2:$A$1973,A375,Paradas!$B$2:$B$1973,B375,Paradas!$C$2:$C$1973,C375)</f>
        <v>181</v>
      </c>
      <c r="I375" s="19" t="n">
        <f aca="false">D375-H375</f>
        <v>299</v>
      </c>
      <c r="J375" s="19" t="n">
        <f aca="false">I375*E375</f>
        <v>2990</v>
      </c>
      <c r="K375" s="16" t="n">
        <f aca="false">IF(D375=0,0,I375/D375)</f>
        <v>0.622916666666667</v>
      </c>
      <c r="L375" s="16" t="n">
        <f aca="false">IF(J375=0,0,F375/J375)</f>
        <v>0.944481605351171</v>
      </c>
      <c r="M375" s="16" t="n">
        <f aca="false">IF(F375=0,0,G375/F375)</f>
        <v>0.951133144475921</v>
      </c>
      <c r="N375" s="16" t="n">
        <f aca="false">K375*L375*M375</f>
        <v>0.559583333333333</v>
      </c>
      <c r="O375" s="19" t="n">
        <f aca="false">MONTH(A375)</f>
        <v>8</v>
      </c>
      <c r="P375" s="19" t="n">
        <f aca="false">INT((A375-DATE(2026,7,1))/7)+1</f>
        <v>6</v>
      </c>
    </row>
    <row r="376" customFormat="false" ht="15" hidden="false" customHeight="false" outlineLevel="0" collapsed="false">
      <c r="A376" s="25" t="n">
        <v>46245</v>
      </c>
      <c r="B376" s="26" t="s">
        <v>17</v>
      </c>
      <c r="C376" s="26" t="s">
        <v>74</v>
      </c>
      <c r="D376" s="26" t="n">
        <v>480</v>
      </c>
      <c r="E376" s="26" t="n">
        <v>10</v>
      </c>
      <c r="F376" s="26" t="n">
        <v>2477</v>
      </c>
      <c r="G376" s="26" t="n">
        <v>2341</v>
      </c>
      <c r="H376" s="19" t="n">
        <f aca="false">SUMIFS(Paradas!$E$2:$E$1973,Paradas!$A$2:$A$1973,A376,Paradas!$B$2:$B$1973,B376,Paradas!$C$2:$C$1973,C376)</f>
        <v>207</v>
      </c>
      <c r="I376" s="19" t="n">
        <f aca="false">D376-H376</f>
        <v>273</v>
      </c>
      <c r="J376" s="19" t="n">
        <f aca="false">I376*E376</f>
        <v>2730</v>
      </c>
      <c r="K376" s="16" t="n">
        <f aca="false">IF(D376=0,0,I376/D376)</f>
        <v>0.56875</v>
      </c>
      <c r="L376" s="16" t="n">
        <f aca="false">IF(J376=0,0,F376/J376)</f>
        <v>0.907326007326007</v>
      </c>
      <c r="M376" s="16" t="n">
        <f aca="false">IF(F376=0,0,G376/F376)</f>
        <v>0.945094872830036</v>
      </c>
      <c r="N376" s="16" t="n">
        <f aca="false">K376*L376*M376</f>
        <v>0.487708333333333</v>
      </c>
      <c r="O376" s="19" t="n">
        <f aca="false">MONTH(A376)</f>
        <v>8</v>
      </c>
      <c r="P376" s="19" t="n">
        <f aca="false">INT((A376-DATE(2026,7,1))/7)+1</f>
        <v>6</v>
      </c>
    </row>
    <row r="377" customFormat="false" ht="15" hidden="false" customHeight="false" outlineLevel="0" collapsed="false">
      <c r="A377" s="25" t="n">
        <v>46245</v>
      </c>
      <c r="B377" s="26" t="s">
        <v>18</v>
      </c>
      <c r="C377" s="26" t="s">
        <v>72</v>
      </c>
      <c r="D377" s="26" t="n">
        <v>480</v>
      </c>
      <c r="E377" s="26" t="n">
        <v>8</v>
      </c>
      <c r="F377" s="26" t="n">
        <v>3564</v>
      </c>
      <c r="G377" s="26" t="n">
        <v>3457</v>
      </c>
      <c r="H377" s="19" t="n">
        <f aca="false">SUMIFS(Paradas!$E$2:$E$1973,Paradas!$A$2:$A$1973,A377,Paradas!$B$2:$B$1973,B377,Paradas!$C$2:$C$1973,C377)</f>
        <v>30</v>
      </c>
      <c r="I377" s="19" t="n">
        <f aca="false">D377-H377</f>
        <v>450</v>
      </c>
      <c r="J377" s="19" t="n">
        <f aca="false">I377*E377</f>
        <v>3600</v>
      </c>
      <c r="K377" s="16" t="n">
        <f aca="false">IF(D377=0,0,I377/D377)</f>
        <v>0.9375</v>
      </c>
      <c r="L377" s="16" t="n">
        <f aca="false">IF(J377=0,0,F377/J377)</f>
        <v>0.99</v>
      </c>
      <c r="M377" s="16" t="n">
        <f aca="false">IF(F377=0,0,G377/F377)</f>
        <v>0.969977553310887</v>
      </c>
      <c r="N377" s="16" t="n">
        <f aca="false">K377*L377*M377</f>
        <v>0.900260416666667</v>
      </c>
      <c r="O377" s="19" t="n">
        <f aca="false">MONTH(A377)</f>
        <v>8</v>
      </c>
      <c r="P377" s="19" t="n">
        <f aca="false">INT((A377-DATE(2026,7,1))/7)+1</f>
        <v>6</v>
      </c>
    </row>
    <row r="378" customFormat="false" ht="15" hidden="false" customHeight="false" outlineLevel="0" collapsed="false">
      <c r="A378" s="25" t="n">
        <v>46245</v>
      </c>
      <c r="B378" s="26" t="s">
        <v>18</v>
      </c>
      <c r="C378" s="26" t="s">
        <v>73</v>
      </c>
      <c r="D378" s="26" t="n">
        <v>480</v>
      </c>
      <c r="E378" s="26" t="n">
        <v>8</v>
      </c>
      <c r="F378" s="26" t="n">
        <v>2667</v>
      </c>
      <c r="G378" s="26" t="n">
        <v>2544</v>
      </c>
      <c r="H378" s="19" t="n">
        <f aca="false">SUMIFS(Paradas!$E$2:$E$1973,Paradas!$A$2:$A$1973,A378,Paradas!$B$2:$B$1973,B378,Paradas!$C$2:$C$1973,C378)</f>
        <v>95</v>
      </c>
      <c r="I378" s="19" t="n">
        <f aca="false">D378-H378</f>
        <v>385</v>
      </c>
      <c r="J378" s="19" t="n">
        <f aca="false">I378*E378</f>
        <v>3080</v>
      </c>
      <c r="K378" s="16" t="n">
        <f aca="false">IF(D378=0,0,I378/D378)</f>
        <v>0.802083333333333</v>
      </c>
      <c r="L378" s="16" t="n">
        <f aca="false">IF(J378=0,0,F378/J378)</f>
        <v>0.865909090909091</v>
      </c>
      <c r="M378" s="16" t="n">
        <f aca="false">IF(F378=0,0,G378/F378)</f>
        <v>0.953880764904387</v>
      </c>
      <c r="N378" s="16" t="n">
        <f aca="false">K378*L378*M378</f>
        <v>0.6625</v>
      </c>
      <c r="O378" s="19" t="n">
        <f aca="false">MONTH(A378)</f>
        <v>8</v>
      </c>
      <c r="P378" s="19" t="n">
        <f aca="false">INT((A378-DATE(2026,7,1))/7)+1</f>
        <v>6</v>
      </c>
    </row>
    <row r="379" customFormat="false" ht="15" hidden="false" customHeight="false" outlineLevel="0" collapsed="false">
      <c r="A379" s="25" t="n">
        <v>46245</v>
      </c>
      <c r="B379" s="26" t="s">
        <v>18</v>
      </c>
      <c r="C379" s="26" t="s">
        <v>74</v>
      </c>
      <c r="D379" s="26" t="n">
        <v>480</v>
      </c>
      <c r="E379" s="26" t="n">
        <v>8</v>
      </c>
      <c r="F379" s="26" t="n">
        <v>2215</v>
      </c>
      <c r="G379" s="26" t="n">
        <v>2121</v>
      </c>
      <c r="H379" s="19" t="n">
        <f aca="false">SUMIFS(Paradas!$E$2:$E$1973,Paradas!$A$2:$A$1973,A379,Paradas!$B$2:$B$1973,B379,Paradas!$C$2:$C$1973,C379)</f>
        <v>169</v>
      </c>
      <c r="I379" s="19" t="n">
        <f aca="false">D379-H379</f>
        <v>311</v>
      </c>
      <c r="J379" s="19" t="n">
        <f aca="false">I379*E379</f>
        <v>2488</v>
      </c>
      <c r="K379" s="16" t="n">
        <f aca="false">IF(D379=0,0,I379/D379)</f>
        <v>0.647916666666667</v>
      </c>
      <c r="L379" s="16" t="n">
        <f aca="false">IF(J379=0,0,F379/J379)</f>
        <v>0.890273311897106</v>
      </c>
      <c r="M379" s="16" t="n">
        <f aca="false">IF(F379=0,0,G379/F379)</f>
        <v>0.957562076749436</v>
      </c>
      <c r="N379" s="16" t="n">
        <f aca="false">K379*L379*M379</f>
        <v>0.55234375</v>
      </c>
      <c r="O379" s="19" t="n">
        <f aca="false">MONTH(A379)</f>
        <v>8</v>
      </c>
      <c r="P379" s="19" t="n">
        <f aca="false">INT((A379-DATE(2026,7,1))/7)+1</f>
        <v>6</v>
      </c>
    </row>
    <row r="380" customFormat="false" ht="15" hidden="false" customHeight="false" outlineLevel="0" collapsed="false">
      <c r="A380" s="25" t="n">
        <v>46246</v>
      </c>
      <c r="B380" s="26" t="s">
        <v>16</v>
      </c>
      <c r="C380" s="26" t="s">
        <v>72</v>
      </c>
      <c r="D380" s="26" t="n">
        <v>480</v>
      </c>
      <c r="E380" s="26" t="n">
        <v>12</v>
      </c>
      <c r="F380" s="26" t="n">
        <v>3649</v>
      </c>
      <c r="G380" s="26" t="n">
        <v>3608</v>
      </c>
      <c r="H380" s="19" t="n">
        <f aca="false">SUMIFS(Paradas!$E$2:$E$1973,Paradas!$A$2:$A$1973,A380,Paradas!$B$2:$B$1973,B380,Paradas!$C$2:$C$1973,C380)</f>
        <v>133</v>
      </c>
      <c r="I380" s="19" t="n">
        <f aca="false">D380-H380</f>
        <v>347</v>
      </c>
      <c r="J380" s="19" t="n">
        <f aca="false">I380*E380</f>
        <v>4164</v>
      </c>
      <c r="K380" s="16" t="n">
        <f aca="false">IF(D380=0,0,I380/D380)</f>
        <v>0.722916666666667</v>
      </c>
      <c r="L380" s="16" t="n">
        <f aca="false">IF(J380=0,0,F380/J380)</f>
        <v>0.876320845341018</v>
      </c>
      <c r="M380" s="16" t="n">
        <f aca="false">IF(F380=0,0,G380/F380)</f>
        <v>0.98876404494382</v>
      </c>
      <c r="N380" s="16" t="n">
        <f aca="false">K380*L380*M380</f>
        <v>0.626388888888889</v>
      </c>
      <c r="O380" s="19" t="n">
        <f aca="false">MONTH(A380)</f>
        <v>8</v>
      </c>
      <c r="P380" s="19" t="n">
        <f aca="false">INT((A380-DATE(2026,7,1))/7)+1</f>
        <v>7</v>
      </c>
    </row>
    <row r="381" customFormat="false" ht="15" hidden="false" customHeight="false" outlineLevel="0" collapsed="false">
      <c r="A381" s="25" t="n">
        <v>46246</v>
      </c>
      <c r="B381" s="26" t="s">
        <v>16</v>
      </c>
      <c r="C381" s="26" t="s">
        <v>73</v>
      </c>
      <c r="D381" s="26" t="n">
        <v>480</v>
      </c>
      <c r="E381" s="26" t="n">
        <v>12</v>
      </c>
      <c r="F381" s="26" t="n">
        <v>3966</v>
      </c>
      <c r="G381" s="26" t="n">
        <v>3865</v>
      </c>
      <c r="H381" s="19" t="n">
        <f aca="false">SUMIFS(Paradas!$E$2:$E$1973,Paradas!$A$2:$A$1973,A381,Paradas!$B$2:$B$1973,B381,Paradas!$C$2:$C$1973,C381)</f>
        <v>118</v>
      </c>
      <c r="I381" s="19" t="n">
        <f aca="false">D381-H381</f>
        <v>362</v>
      </c>
      <c r="J381" s="19" t="n">
        <f aca="false">I381*E381</f>
        <v>4344</v>
      </c>
      <c r="K381" s="16" t="n">
        <f aca="false">IF(D381=0,0,I381/D381)</f>
        <v>0.754166666666667</v>
      </c>
      <c r="L381" s="16" t="n">
        <f aca="false">IF(J381=0,0,F381/J381)</f>
        <v>0.912983425414365</v>
      </c>
      <c r="M381" s="16" t="n">
        <f aca="false">IF(F381=0,0,G381/F381)</f>
        <v>0.974533535047907</v>
      </c>
      <c r="N381" s="16" t="n">
        <f aca="false">K381*L381*M381</f>
        <v>0.671006944444444</v>
      </c>
      <c r="O381" s="19" t="n">
        <f aca="false">MONTH(A381)</f>
        <v>8</v>
      </c>
      <c r="P381" s="19" t="n">
        <f aca="false">INT((A381-DATE(2026,7,1))/7)+1</f>
        <v>7</v>
      </c>
    </row>
    <row r="382" customFormat="false" ht="15" hidden="false" customHeight="false" outlineLevel="0" collapsed="false">
      <c r="A382" s="25" t="n">
        <v>46246</v>
      </c>
      <c r="B382" s="26" t="s">
        <v>16</v>
      </c>
      <c r="C382" s="26" t="s">
        <v>74</v>
      </c>
      <c r="D382" s="26" t="n">
        <v>480</v>
      </c>
      <c r="E382" s="26" t="n">
        <v>12</v>
      </c>
      <c r="F382" s="26" t="n">
        <v>4907</v>
      </c>
      <c r="G382" s="26" t="n">
        <v>4870</v>
      </c>
      <c r="H382" s="19" t="n">
        <f aca="false">SUMIFS(Paradas!$E$2:$E$1973,Paradas!$A$2:$A$1973,A382,Paradas!$B$2:$B$1973,B382,Paradas!$C$2:$C$1973,C382)</f>
        <v>0</v>
      </c>
      <c r="I382" s="19" t="n">
        <f aca="false">D382-H382</f>
        <v>480</v>
      </c>
      <c r="J382" s="19" t="n">
        <f aca="false">I382*E382</f>
        <v>5760</v>
      </c>
      <c r="K382" s="16" t="n">
        <f aca="false">IF(D382=0,0,I382/D382)</f>
        <v>1</v>
      </c>
      <c r="L382" s="16" t="n">
        <f aca="false">IF(J382=0,0,F382/J382)</f>
        <v>0.851909722222222</v>
      </c>
      <c r="M382" s="16" t="n">
        <f aca="false">IF(F382=0,0,G382/F382)</f>
        <v>0.992459751375586</v>
      </c>
      <c r="N382" s="16" t="n">
        <f aca="false">K382*L382*M382</f>
        <v>0.845486111111111</v>
      </c>
      <c r="O382" s="19" t="n">
        <f aca="false">MONTH(A382)</f>
        <v>8</v>
      </c>
      <c r="P382" s="19" t="n">
        <f aca="false">INT((A382-DATE(2026,7,1))/7)+1</f>
        <v>7</v>
      </c>
    </row>
    <row r="383" customFormat="false" ht="15" hidden="false" customHeight="false" outlineLevel="0" collapsed="false">
      <c r="A383" s="25" t="n">
        <v>46246</v>
      </c>
      <c r="B383" s="26" t="s">
        <v>17</v>
      </c>
      <c r="C383" s="26" t="s">
        <v>72</v>
      </c>
      <c r="D383" s="26" t="n">
        <v>480</v>
      </c>
      <c r="E383" s="26" t="n">
        <v>10</v>
      </c>
      <c r="F383" s="26" t="n">
        <v>3578</v>
      </c>
      <c r="G383" s="26" t="n">
        <v>3450</v>
      </c>
      <c r="H383" s="19" t="n">
        <f aca="false">SUMIFS(Paradas!$E$2:$E$1973,Paradas!$A$2:$A$1973,A383,Paradas!$B$2:$B$1973,B383,Paradas!$C$2:$C$1973,C383)</f>
        <v>64</v>
      </c>
      <c r="I383" s="19" t="n">
        <f aca="false">D383-H383</f>
        <v>416</v>
      </c>
      <c r="J383" s="19" t="n">
        <f aca="false">I383*E383</f>
        <v>4160</v>
      </c>
      <c r="K383" s="16" t="n">
        <f aca="false">IF(D383=0,0,I383/D383)</f>
        <v>0.866666666666667</v>
      </c>
      <c r="L383" s="16" t="n">
        <f aca="false">IF(J383=0,0,F383/J383)</f>
        <v>0.860096153846154</v>
      </c>
      <c r="M383" s="16" t="n">
        <f aca="false">IF(F383=0,0,G383/F383)</f>
        <v>0.964225824482951</v>
      </c>
      <c r="N383" s="16" t="n">
        <f aca="false">K383*L383*M383</f>
        <v>0.71875</v>
      </c>
      <c r="O383" s="19" t="n">
        <f aca="false">MONTH(A383)</f>
        <v>8</v>
      </c>
      <c r="P383" s="19" t="n">
        <f aca="false">INT((A383-DATE(2026,7,1))/7)+1</f>
        <v>7</v>
      </c>
    </row>
    <row r="384" customFormat="false" ht="15" hidden="false" customHeight="false" outlineLevel="0" collapsed="false">
      <c r="A384" s="25" t="n">
        <v>46246</v>
      </c>
      <c r="B384" s="26" t="s">
        <v>17</v>
      </c>
      <c r="C384" s="26" t="s">
        <v>73</v>
      </c>
      <c r="D384" s="26" t="n">
        <v>480</v>
      </c>
      <c r="E384" s="26" t="n">
        <v>10</v>
      </c>
      <c r="F384" s="26" t="n">
        <v>3732</v>
      </c>
      <c r="G384" s="26" t="n">
        <v>3560</v>
      </c>
      <c r="H384" s="19" t="n">
        <f aca="false">SUMIFS(Paradas!$E$2:$E$1973,Paradas!$A$2:$A$1973,A384,Paradas!$B$2:$B$1973,B384,Paradas!$C$2:$C$1973,C384)</f>
        <v>65</v>
      </c>
      <c r="I384" s="19" t="n">
        <f aca="false">D384-H384</f>
        <v>415</v>
      </c>
      <c r="J384" s="19" t="n">
        <f aca="false">I384*E384</f>
        <v>4150</v>
      </c>
      <c r="K384" s="16" t="n">
        <f aca="false">IF(D384=0,0,I384/D384)</f>
        <v>0.864583333333333</v>
      </c>
      <c r="L384" s="16" t="n">
        <f aca="false">IF(J384=0,0,F384/J384)</f>
        <v>0.899277108433735</v>
      </c>
      <c r="M384" s="16" t="n">
        <f aca="false">IF(F384=0,0,G384/F384)</f>
        <v>0.953912111468382</v>
      </c>
      <c r="N384" s="16" t="n">
        <f aca="false">K384*L384*M384</f>
        <v>0.741666666666667</v>
      </c>
      <c r="O384" s="19" t="n">
        <f aca="false">MONTH(A384)</f>
        <v>8</v>
      </c>
      <c r="P384" s="19" t="n">
        <f aca="false">INT((A384-DATE(2026,7,1))/7)+1</f>
        <v>7</v>
      </c>
    </row>
    <row r="385" customFormat="false" ht="15" hidden="false" customHeight="false" outlineLevel="0" collapsed="false">
      <c r="A385" s="25" t="n">
        <v>46246</v>
      </c>
      <c r="B385" s="26" t="s">
        <v>17</v>
      </c>
      <c r="C385" s="26" t="s">
        <v>74</v>
      </c>
      <c r="D385" s="26" t="n">
        <v>480</v>
      </c>
      <c r="E385" s="26" t="n">
        <v>10</v>
      </c>
      <c r="F385" s="26" t="n">
        <v>2549</v>
      </c>
      <c r="G385" s="26" t="n">
        <v>2447</v>
      </c>
      <c r="H385" s="19" t="n">
        <f aca="false">SUMIFS(Paradas!$E$2:$E$1973,Paradas!$A$2:$A$1973,A385,Paradas!$B$2:$B$1973,B385,Paradas!$C$2:$C$1973,C385)</f>
        <v>188</v>
      </c>
      <c r="I385" s="19" t="n">
        <f aca="false">D385-H385</f>
        <v>292</v>
      </c>
      <c r="J385" s="19" t="n">
        <f aca="false">I385*E385</f>
        <v>2920</v>
      </c>
      <c r="K385" s="16" t="n">
        <f aca="false">IF(D385=0,0,I385/D385)</f>
        <v>0.608333333333333</v>
      </c>
      <c r="L385" s="16" t="n">
        <f aca="false">IF(J385=0,0,F385/J385)</f>
        <v>0.872945205479452</v>
      </c>
      <c r="M385" s="16" t="n">
        <f aca="false">IF(F385=0,0,G385/F385)</f>
        <v>0.959984307571597</v>
      </c>
      <c r="N385" s="16" t="n">
        <f aca="false">K385*L385*M385</f>
        <v>0.509791666666667</v>
      </c>
      <c r="O385" s="19" t="n">
        <f aca="false">MONTH(A385)</f>
        <v>8</v>
      </c>
      <c r="P385" s="19" t="n">
        <f aca="false">INT((A385-DATE(2026,7,1))/7)+1</f>
        <v>7</v>
      </c>
    </row>
    <row r="386" customFormat="false" ht="15" hidden="false" customHeight="false" outlineLevel="0" collapsed="false">
      <c r="A386" s="25" t="n">
        <v>46246</v>
      </c>
      <c r="B386" s="26" t="s">
        <v>18</v>
      </c>
      <c r="C386" s="26" t="s">
        <v>72</v>
      </c>
      <c r="D386" s="26" t="n">
        <v>480</v>
      </c>
      <c r="E386" s="26" t="n">
        <v>8</v>
      </c>
      <c r="F386" s="26" t="n">
        <v>2585</v>
      </c>
      <c r="G386" s="26" t="n">
        <v>2486</v>
      </c>
      <c r="H386" s="19" t="n">
        <f aca="false">SUMIFS(Paradas!$E$2:$E$1973,Paradas!$A$2:$A$1973,A386,Paradas!$B$2:$B$1973,B386,Paradas!$C$2:$C$1973,C386)</f>
        <v>135</v>
      </c>
      <c r="I386" s="19" t="n">
        <f aca="false">D386-H386</f>
        <v>345</v>
      </c>
      <c r="J386" s="19" t="n">
        <f aca="false">I386*E386</f>
        <v>2760</v>
      </c>
      <c r="K386" s="16" t="n">
        <f aca="false">IF(D386=0,0,I386/D386)</f>
        <v>0.71875</v>
      </c>
      <c r="L386" s="16" t="n">
        <f aca="false">IF(J386=0,0,F386/J386)</f>
        <v>0.936594202898551</v>
      </c>
      <c r="M386" s="16" t="n">
        <f aca="false">IF(F386=0,0,G386/F386)</f>
        <v>0.961702127659574</v>
      </c>
      <c r="N386" s="16" t="n">
        <f aca="false">K386*L386*M386</f>
        <v>0.647395833333333</v>
      </c>
      <c r="O386" s="19" t="n">
        <f aca="false">MONTH(A386)</f>
        <v>8</v>
      </c>
      <c r="P386" s="19" t="n">
        <f aca="false">INT((A386-DATE(2026,7,1))/7)+1</f>
        <v>7</v>
      </c>
    </row>
    <row r="387" customFormat="false" ht="15" hidden="false" customHeight="false" outlineLevel="0" collapsed="false">
      <c r="A387" s="25" t="n">
        <v>46246</v>
      </c>
      <c r="B387" s="26" t="s">
        <v>18</v>
      </c>
      <c r="C387" s="26" t="s">
        <v>73</v>
      </c>
      <c r="D387" s="26" t="n">
        <v>480</v>
      </c>
      <c r="E387" s="26" t="n">
        <v>8</v>
      </c>
      <c r="F387" s="26" t="n">
        <v>3283</v>
      </c>
      <c r="G387" s="26" t="n">
        <v>3226</v>
      </c>
      <c r="H387" s="19" t="n">
        <f aca="false">SUMIFS(Paradas!$E$2:$E$1973,Paradas!$A$2:$A$1973,A387,Paradas!$B$2:$B$1973,B387,Paradas!$C$2:$C$1973,C387)</f>
        <v>37</v>
      </c>
      <c r="I387" s="19" t="n">
        <f aca="false">D387-H387</f>
        <v>443</v>
      </c>
      <c r="J387" s="19" t="n">
        <f aca="false">I387*E387</f>
        <v>3544</v>
      </c>
      <c r="K387" s="16" t="n">
        <f aca="false">IF(D387=0,0,I387/D387)</f>
        <v>0.922916666666667</v>
      </c>
      <c r="L387" s="16" t="n">
        <f aca="false">IF(J387=0,0,F387/J387)</f>
        <v>0.926354401805869</v>
      </c>
      <c r="M387" s="16" t="n">
        <f aca="false">IF(F387=0,0,G387/F387)</f>
        <v>0.982637831251904</v>
      </c>
      <c r="N387" s="16" t="n">
        <f aca="false">K387*L387*M387</f>
        <v>0.840104166666667</v>
      </c>
      <c r="O387" s="19" t="n">
        <f aca="false">MONTH(A387)</f>
        <v>8</v>
      </c>
      <c r="P387" s="19" t="n">
        <f aca="false">INT((A387-DATE(2026,7,1))/7)+1</f>
        <v>7</v>
      </c>
    </row>
    <row r="388" customFormat="false" ht="15" hidden="false" customHeight="false" outlineLevel="0" collapsed="false">
      <c r="A388" s="25" t="n">
        <v>46246</v>
      </c>
      <c r="B388" s="26" t="s">
        <v>18</v>
      </c>
      <c r="C388" s="26" t="s">
        <v>74</v>
      </c>
      <c r="D388" s="26" t="n">
        <v>480</v>
      </c>
      <c r="E388" s="26" t="n">
        <v>8</v>
      </c>
      <c r="F388" s="26" t="n">
        <v>3147</v>
      </c>
      <c r="G388" s="26" t="n">
        <v>3013</v>
      </c>
      <c r="H388" s="19" t="n">
        <f aca="false">SUMIFS(Paradas!$E$2:$E$1973,Paradas!$A$2:$A$1973,A388,Paradas!$B$2:$B$1973,B388,Paradas!$C$2:$C$1973,C388)</f>
        <v>14</v>
      </c>
      <c r="I388" s="19" t="n">
        <f aca="false">D388-H388</f>
        <v>466</v>
      </c>
      <c r="J388" s="19" t="n">
        <f aca="false">I388*E388</f>
        <v>3728</v>
      </c>
      <c r="K388" s="16" t="n">
        <f aca="false">IF(D388=0,0,I388/D388)</f>
        <v>0.970833333333333</v>
      </c>
      <c r="L388" s="16" t="n">
        <f aca="false">IF(J388=0,0,F388/J388)</f>
        <v>0.844152360515021</v>
      </c>
      <c r="M388" s="16" t="n">
        <f aca="false">IF(F388=0,0,G388/F388)</f>
        <v>0.957419764855418</v>
      </c>
      <c r="N388" s="16" t="n">
        <f aca="false">K388*L388*M388</f>
        <v>0.784635416666667</v>
      </c>
      <c r="O388" s="19" t="n">
        <f aca="false">MONTH(A388)</f>
        <v>8</v>
      </c>
      <c r="P388" s="19" t="n">
        <f aca="false">INT((A388-DATE(2026,7,1))/7)+1</f>
        <v>7</v>
      </c>
    </row>
    <row r="389" customFormat="false" ht="15" hidden="false" customHeight="false" outlineLevel="0" collapsed="false">
      <c r="A389" s="25" t="n">
        <v>46247</v>
      </c>
      <c r="B389" s="26" t="s">
        <v>16</v>
      </c>
      <c r="C389" s="26" t="s">
        <v>72</v>
      </c>
      <c r="D389" s="26" t="n">
        <v>480</v>
      </c>
      <c r="E389" s="26" t="n">
        <v>12</v>
      </c>
      <c r="F389" s="26" t="n">
        <v>4865</v>
      </c>
      <c r="G389" s="26" t="n">
        <v>4758</v>
      </c>
      <c r="H389" s="19" t="n">
        <f aca="false">SUMIFS(Paradas!$E$2:$E$1973,Paradas!$A$2:$A$1973,A389,Paradas!$B$2:$B$1973,B389,Paradas!$C$2:$C$1973,C389)</f>
        <v>24</v>
      </c>
      <c r="I389" s="19" t="n">
        <f aca="false">D389-H389</f>
        <v>456</v>
      </c>
      <c r="J389" s="19" t="n">
        <f aca="false">I389*E389</f>
        <v>5472</v>
      </c>
      <c r="K389" s="16" t="n">
        <f aca="false">IF(D389=0,0,I389/D389)</f>
        <v>0.95</v>
      </c>
      <c r="L389" s="16" t="n">
        <f aca="false">IF(J389=0,0,F389/J389)</f>
        <v>0.889071637426901</v>
      </c>
      <c r="M389" s="16" t="n">
        <f aca="false">IF(F389=0,0,G389/F389)</f>
        <v>0.978006166495375</v>
      </c>
      <c r="N389" s="16" t="n">
        <f aca="false">K389*L389*M389</f>
        <v>0.826041666666667</v>
      </c>
      <c r="O389" s="19" t="n">
        <f aca="false">MONTH(A389)</f>
        <v>8</v>
      </c>
      <c r="P389" s="19" t="n">
        <f aca="false">INT((A389-DATE(2026,7,1))/7)+1</f>
        <v>7</v>
      </c>
    </row>
    <row r="390" customFormat="false" ht="15" hidden="false" customHeight="false" outlineLevel="0" collapsed="false">
      <c r="A390" s="25" t="n">
        <v>46247</v>
      </c>
      <c r="B390" s="26" t="s">
        <v>16</v>
      </c>
      <c r="C390" s="26" t="s">
        <v>73</v>
      </c>
      <c r="D390" s="26" t="n">
        <v>480</v>
      </c>
      <c r="E390" s="26" t="n">
        <v>12</v>
      </c>
      <c r="F390" s="26" t="n">
        <v>4864</v>
      </c>
      <c r="G390" s="26" t="n">
        <v>4766</v>
      </c>
      <c r="H390" s="19" t="n">
        <f aca="false">SUMIFS(Paradas!$E$2:$E$1973,Paradas!$A$2:$A$1973,A390,Paradas!$B$2:$B$1973,B390,Paradas!$C$2:$C$1973,C390)</f>
        <v>28</v>
      </c>
      <c r="I390" s="19" t="n">
        <f aca="false">D390-H390</f>
        <v>452</v>
      </c>
      <c r="J390" s="19" t="n">
        <f aca="false">I390*E390</f>
        <v>5424</v>
      </c>
      <c r="K390" s="16" t="n">
        <f aca="false">IF(D390=0,0,I390/D390)</f>
        <v>0.941666666666667</v>
      </c>
      <c r="L390" s="16" t="n">
        <f aca="false">IF(J390=0,0,F390/J390)</f>
        <v>0.896755162241888</v>
      </c>
      <c r="M390" s="16" t="n">
        <f aca="false">IF(F390=0,0,G390/F390)</f>
        <v>0.979851973684211</v>
      </c>
      <c r="N390" s="16" t="n">
        <f aca="false">K390*L390*M390</f>
        <v>0.827430555555556</v>
      </c>
      <c r="O390" s="19" t="n">
        <f aca="false">MONTH(A390)</f>
        <v>8</v>
      </c>
      <c r="P390" s="19" t="n">
        <f aca="false">INT((A390-DATE(2026,7,1))/7)+1</f>
        <v>7</v>
      </c>
    </row>
    <row r="391" customFormat="false" ht="15" hidden="false" customHeight="false" outlineLevel="0" collapsed="false">
      <c r="A391" s="25" t="n">
        <v>46247</v>
      </c>
      <c r="B391" s="26" t="s">
        <v>16</v>
      </c>
      <c r="C391" s="26" t="s">
        <v>74</v>
      </c>
      <c r="D391" s="26" t="n">
        <v>480</v>
      </c>
      <c r="E391" s="26" t="n">
        <v>12</v>
      </c>
      <c r="F391" s="26" t="n">
        <v>3529</v>
      </c>
      <c r="G391" s="26" t="n">
        <v>3435</v>
      </c>
      <c r="H391" s="19" t="n">
        <f aca="false">SUMIFS(Paradas!$E$2:$E$1973,Paradas!$A$2:$A$1973,A391,Paradas!$B$2:$B$1973,B391,Paradas!$C$2:$C$1973,C391)</f>
        <v>120</v>
      </c>
      <c r="I391" s="19" t="n">
        <f aca="false">D391-H391</f>
        <v>360</v>
      </c>
      <c r="J391" s="19" t="n">
        <f aca="false">I391*E391</f>
        <v>4320</v>
      </c>
      <c r="K391" s="16" t="n">
        <f aca="false">IF(D391=0,0,I391/D391)</f>
        <v>0.75</v>
      </c>
      <c r="L391" s="16" t="n">
        <f aca="false">IF(J391=0,0,F391/J391)</f>
        <v>0.816898148148148</v>
      </c>
      <c r="M391" s="16" t="n">
        <f aca="false">IF(F391=0,0,G391/F391)</f>
        <v>0.973363559081893</v>
      </c>
      <c r="N391" s="16" t="n">
        <f aca="false">K391*L391*M391</f>
        <v>0.596354166666667</v>
      </c>
      <c r="O391" s="19" t="n">
        <f aca="false">MONTH(A391)</f>
        <v>8</v>
      </c>
      <c r="P391" s="19" t="n">
        <f aca="false">INT((A391-DATE(2026,7,1))/7)+1</f>
        <v>7</v>
      </c>
    </row>
    <row r="392" customFormat="false" ht="15" hidden="false" customHeight="false" outlineLevel="0" collapsed="false">
      <c r="A392" s="25" t="n">
        <v>46247</v>
      </c>
      <c r="B392" s="26" t="s">
        <v>17</v>
      </c>
      <c r="C392" s="26" t="s">
        <v>72</v>
      </c>
      <c r="D392" s="26" t="n">
        <v>480</v>
      </c>
      <c r="E392" s="26" t="n">
        <v>10</v>
      </c>
      <c r="F392" s="26" t="n">
        <v>3250</v>
      </c>
      <c r="G392" s="26" t="n">
        <v>3178</v>
      </c>
      <c r="H392" s="19" t="n">
        <f aca="false">SUMIFS(Paradas!$E$2:$E$1973,Paradas!$A$2:$A$1973,A392,Paradas!$B$2:$B$1973,B392,Paradas!$C$2:$C$1973,C392)</f>
        <v>113</v>
      </c>
      <c r="I392" s="19" t="n">
        <f aca="false">D392-H392</f>
        <v>367</v>
      </c>
      <c r="J392" s="19" t="n">
        <f aca="false">I392*E392</f>
        <v>3670</v>
      </c>
      <c r="K392" s="16" t="n">
        <f aca="false">IF(D392=0,0,I392/D392)</f>
        <v>0.764583333333333</v>
      </c>
      <c r="L392" s="16" t="n">
        <f aca="false">IF(J392=0,0,F392/J392)</f>
        <v>0.885558583106267</v>
      </c>
      <c r="M392" s="16" t="n">
        <f aca="false">IF(F392=0,0,G392/F392)</f>
        <v>0.977846153846154</v>
      </c>
      <c r="N392" s="16" t="n">
        <f aca="false">K392*L392*M392</f>
        <v>0.662083333333333</v>
      </c>
      <c r="O392" s="19" t="n">
        <f aca="false">MONTH(A392)</f>
        <v>8</v>
      </c>
      <c r="P392" s="19" t="n">
        <f aca="false">INT((A392-DATE(2026,7,1))/7)+1</f>
        <v>7</v>
      </c>
    </row>
    <row r="393" customFormat="false" ht="15" hidden="false" customHeight="false" outlineLevel="0" collapsed="false">
      <c r="A393" s="25" t="n">
        <v>46247</v>
      </c>
      <c r="B393" s="26" t="s">
        <v>17</v>
      </c>
      <c r="C393" s="26" t="s">
        <v>73</v>
      </c>
      <c r="D393" s="26" t="n">
        <v>480</v>
      </c>
      <c r="E393" s="26" t="n">
        <v>10</v>
      </c>
      <c r="F393" s="26" t="n">
        <v>3569</v>
      </c>
      <c r="G393" s="26" t="n">
        <v>3430</v>
      </c>
      <c r="H393" s="19" t="n">
        <f aca="false">SUMIFS(Paradas!$E$2:$E$1973,Paradas!$A$2:$A$1973,A393,Paradas!$B$2:$B$1973,B393,Paradas!$C$2:$C$1973,C393)</f>
        <v>93</v>
      </c>
      <c r="I393" s="19" t="n">
        <f aca="false">D393-H393</f>
        <v>387</v>
      </c>
      <c r="J393" s="19" t="n">
        <f aca="false">I393*E393</f>
        <v>3870</v>
      </c>
      <c r="K393" s="16" t="n">
        <f aca="false">IF(D393=0,0,I393/D393)</f>
        <v>0.80625</v>
      </c>
      <c r="L393" s="16" t="n">
        <f aca="false">IF(J393=0,0,F393/J393)</f>
        <v>0.922222222222222</v>
      </c>
      <c r="M393" s="16" t="n">
        <f aca="false">IF(F393=0,0,G393/F393)</f>
        <v>0.961053516391146</v>
      </c>
      <c r="N393" s="16" t="n">
        <f aca="false">K393*L393*M393</f>
        <v>0.714583333333334</v>
      </c>
      <c r="O393" s="19" t="n">
        <f aca="false">MONTH(A393)</f>
        <v>8</v>
      </c>
      <c r="P393" s="19" t="n">
        <f aca="false">INT((A393-DATE(2026,7,1))/7)+1</f>
        <v>7</v>
      </c>
    </row>
    <row r="394" customFormat="false" ht="15" hidden="false" customHeight="false" outlineLevel="0" collapsed="false">
      <c r="A394" s="25" t="n">
        <v>46247</v>
      </c>
      <c r="B394" s="26" t="s">
        <v>17</v>
      </c>
      <c r="C394" s="26" t="s">
        <v>74</v>
      </c>
      <c r="D394" s="26" t="n">
        <v>480</v>
      </c>
      <c r="E394" s="26" t="n">
        <v>10</v>
      </c>
      <c r="F394" s="26" t="n">
        <v>3433</v>
      </c>
      <c r="G394" s="26" t="n">
        <v>3209</v>
      </c>
      <c r="H394" s="19" t="n">
        <f aca="false">SUMIFS(Paradas!$E$2:$E$1973,Paradas!$A$2:$A$1973,A394,Paradas!$B$2:$B$1973,B394,Paradas!$C$2:$C$1973,C394)</f>
        <v>87</v>
      </c>
      <c r="I394" s="19" t="n">
        <f aca="false">D394-H394</f>
        <v>393</v>
      </c>
      <c r="J394" s="19" t="n">
        <f aca="false">I394*E394</f>
        <v>3930</v>
      </c>
      <c r="K394" s="16" t="n">
        <f aca="false">IF(D394=0,0,I394/D394)</f>
        <v>0.81875</v>
      </c>
      <c r="L394" s="16" t="n">
        <f aca="false">IF(J394=0,0,F394/J394)</f>
        <v>0.8735368956743</v>
      </c>
      <c r="M394" s="16" t="n">
        <f aca="false">IF(F394=0,0,G394/F394)</f>
        <v>0.934750946693854</v>
      </c>
      <c r="N394" s="16" t="n">
        <f aca="false">K394*L394*M394</f>
        <v>0.668541666666667</v>
      </c>
      <c r="O394" s="19" t="n">
        <f aca="false">MONTH(A394)</f>
        <v>8</v>
      </c>
      <c r="P394" s="19" t="n">
        <f aca="false">INT((A394-DATE(2026,7,1))/7)+1</f>
        <v>7</v>
      </c>
    </row>
    <row r="395" customFormat="false" ht="15" hidden="false" customHeight="false" outlineLevel="0" collapsed="false">
      <c r="A395" s="25" t="n">
        <v>46247</v>
      </c>
      <c r="B395" s="26" t="s">
        <v>18</v>
      </c>
      <c r="C395" s="26" t="s">
        <v>72</v>
      </c>
      <c r="D395" s="26" t="n">
        <v>480</v>
      </c>
      <c r="E395" s="26" t="n">
        <v>8</v>
      </c>
      <c r="F395" s="26" t="n">
        <v>3339</v>
      </c>
      <c r="G395" s="26" t="n">
        <v>3228</v>
      </c>
      <c r="H395" s="19" t="n">
        <f aca="false">SUMIFS(Paradas!$E$2:$E$1973,Paradas!$A$2:$A$1973,A395,Paradas!$B$2:$B$1973,B395,Paradas!$C$2:$C$1973,C395)</f>
        <v>29</v>
      </c>
      <c r="I395" s="19" t="n">
        <f aca="false">D395-H395</f>
        <v>451</v>
      </c>
      <c r="J395" s="19" t="n">
        <f aca="false">I395*E395</f>
        <v>3608</v>
      </c>
      <c r="K395" s="16" t="n">
        <f aca="false">IF(D395=0,0,I395/D395)</f>
        <v>0.939583333333333</v>
      </c>
      <c r="L395" s="16" t="n">
        <f aca="false">IF(J395=0,0,F395/J395)</f>
        <v>0.925443458980044</v>
      </c>
      <c r="M395" s="16" t="n">
        <f aca="false">IF(F395=0,0,G395/F395)</f>
        <v>0.966756513926325</v>
      </c>
      <c r="N395" s="16" t="n">
        <f aca="false">K395*L395*M395</f>
        <v>0.840625</v>
      </c>
      <c r="O395" s="19" t="n">
        <f aca="false">MONTH(A395)</f>
        <v>8</v>
      </c>
      <c r="P395" s="19" t="n">
        <f aca="false">INT((A395-DATE(2026,7,1))/7)+1</f>
        <v>7</v>
      </c>
    </row>
    <row r="396" customFormat="false" ht="15" hidden="false" customHeight="false" outlineLevel="0" collapsed="false">
      <c r="A396" s="25" t="n">
        <v>46247</v>
      </c>
      <c r="B396" s="26" t="s">
        <v>18</v>
      </c>
      <c r="C396" s="26" t="s">
        <v>73</v>
      </c>
      <c r="D396" s="26" t="n">
        <v>480</v>
      </c>
      <c r="E396" s="26" t="n">
        <v>8</v>
      </c>
      <c r="F396" s="26" t="n">
        <v>2352</v>
      </c>
      <c r="G396" s="26" t="n">
        <v>2303</v>
      </c>
      <c r="H396" s="19" t="n">
        <f aca="false">SUMIFS(Paradas!$E$2:$E$1973,Paradas!$A$2:$A$1973,A396,Paradas!$B$2:$B$1973,B396,Paradas!$C$2:$C$1973,C396)</f>
        <v>183</v>
      </c>
      <c r="I396" s="19" t="n">
        <f aca="false">D396-H396</f>
        <v>297</v>
      </c>
      <c r="J396" s="19" t="n">
        <f aca="false">I396*E396</f>
        <v>2376</v>
      </c>
      <c r="K396" s="16" t="n">
        <f aca="false">IF(D396=0,0,I396/D396)</f>
        <v>0.61875</v>
      </c>
      <c r="L396" s="16" t="n">
        <f aca="false">IF(J396=0,0,F396/J396)</f>
        <v>0.98989898989899</v>
      </c>
      <c r="M396" s="16" t="n">
        <f aca="false">IF(F396=0,0,G396/F396)</f>
        <v>0.979166666666667</v>
      </c>
      <c r="N396" s="16" t="n">
        <f aca="false">K396*L396*M396</f>
        <v>0.599739583333333</v>
      </c>
      <c r="O396" s="19" t="n">
        <f aca="false">MONTH(A396)</f>
        <v>8</v>
      </c>
      <c r="P396" s="19" t="n">
        <f aca="false">INT((A396-DATE(2026,7,1))/7)+1</f>
        <v>7</v>
      </c>
    </row>
    <row r="397" customFormat="false" ht="15" hidden="false" customHeight="false" outlineLevel="0" collapsed="false">
      <c r="A397" s="25" t="n">
        <v>46247</v>
      </c>
      <c r="B397" s="26" t="s">
        <v>18</v>
      </c>
      <c r="C397" s="26" t="s">
        <v>74</v>
      </c>
      <c r="D397" s="26" t="n">
        <v>480</v>
      </c>
      <c r="E397" s="26" t="n">
        <v>8</v>
      </c>
      <c r="F397" s="26" t="n">
        <v>2999</v>
      </c>
      <c r="G397" s="26" t="n">
        <v>2895</v>
      </c>
      <c r="H397" s="19" t="n">
        <f aca="false">SUMIFS(Paradas!$E$2:$E$1973,Paradas!$A$2:$A$1973,A397,Paradas!$B$2:$B$1973,B397,Paradas!$C$2:$C$1973,C397)</f>
        <v>32</v>
      </c>
      <c r="I397" s="19" t="n">
        <f aca="false">D397-H397</f>
        <v>448</v>
      </c>
      <c r="J397" s="19" t="n">
        <f aca="false">I397*E397</f>
        <v>3584</v>
      </c>
      <c r="K397" s="16" t="n">
        <f aca="false">IF(D397=0,0,I397/D397)</f>
        <v>0.933333333333333</v>
      </c>
      <c r="L397" s="16" t="n">
        <f aca="false">IF(J397=0,0,F397/J397)</f>
        <v>0.836774553571429</v>
      </c>
      <c r="M397" s="16" t="n">
        <f aca="false">IF(F397=0,0,G397/F397)</f>
        <v>0.965321773924642</v>
      </c>
      <c r="N397" s="16" t="n">
        <f aca="false">K397*L397*M397</f>
        <v>0.75390625</v>
      </c>
      <c r="O397" s="19" t="n">
        <f aca="false">MONTH(A397)</f>
        <v>8</v>
      </c>
      <c r="P397" s="19" t="n">
        <f aca="false">INT((A397-DATE(2026,7,1))/7)+1</f>
        <v>7</v>
      </c>
    </row>
    <row r="398" customFormat="false" ht="15" hidden="false" customHeight="false" outlineLevel="0" collapsed="false">
      <c r="A398" s="25" t="n">
        <v>46248</v>
      </c>
      <c r="B398" s="26" t="s">
        <v>16</v>
      </c>
      <c r="C398" s="26" t="s">
        <v>72</v>
      </c>
      <c r="D398" s="26" t="n">
        <v>480</v>
      </c>
      <c r="E398" s="26" t="n">
        <v>12</v>
      </c>
      <c r="F398" s="26" t="n">
        <v>5120</v>
      </c>
      <c r="G398" s="26" t="n">
        <v>5096</v>
      </c>
      <c r="H398" s="19" t="n">
        <f aca="false">SUMIFS(Paradas!$E$2:$E$1973,Paradas!$A$2:$A$1973,A398,Paradas!$B$2:$B$1973,B398,Paradas!$C$2:$C$1973,C398)</f>
        <v>0</v>
      </c>
      <c r="I398" s="19" t="n">
        <f aca="false">D398-H398</f>
        <v>480</v>
      </c>
      <c r="J398" s="19" t="n">
        <f aca="false">I398*E398</f>
        <v>5760</v>
      </c>
      <c r="K398" s="16" t="n">
        <f aca="false">IF(D398=0,0,I398/D398)</f>
        <v>1</v>
      </c>
      <c r="L398" s="16" t="n">
        <f aca="false">IF(J398=0,0,F398/J398)</f>
        <v>0.888888888888889</v>
      </c>
      <c r="M398" s="16" t="n">
        <f aca="false">IF(F398=0,0,G398/F398)</f>
        <v>0.9953125</v>
      </c>
      <c r="N398" s="16" t="n">
        <f aca="false">K398*L398*M398</f>
        <v>0.884722222222222</v>
      </c>
      <c r="O398" s="19" t="n">
        <f aca="false">MONTH(A398)</f>
        <v>8</v>
      </c>
      <c r="P398" s="19" t="n">
        <f aca="false">INT((A398-DATE(2026,7,1))/7)+1</f>
        <v>7</v>
      </c>
    </row>
    <row r="399" customFormat="false" ht="15" hidden="false" customHeight="false" outlineLevel="0" collapsed="false">
      <c r="A399" s="25" t="n">
        <v>46248</v>
      </c>
      <c r="B399" s="26" t="s">
        <v>16</v>
      </c>
      <c r="C399" s="26" t="s">
        <v>73</v>
      </c>
      <c r="D399" s="26" t="n">
        <v>480</v>
      </c>
      <c r="E399" s="26" t="n">
        <v>12</v>
      </c>
      <c r="F399" s="26" t="n">
        <v>4128</v>
      </c>
      <c r="G399" s="26" t="n">
        <v>4046</v>
      </c>
      <c r="H399" s="19" t="n">
        <f aca="false">SUMIFS(Paradas!$E$2:$E$1973,Paradas!$A$2:$A$1973,A399,Paradas!$B$2:$B$1973,B399,Paradas!$C$2:$C$1973,C399)</f>
        <v>108</v>
      </c>
      <c r="I399" s="19" t="n">
        <f aca="false">D399-H399</f>
        <v>372</v>
      </c>
      <c r="J399" s="19" t="n">
        <f aca="false">I399*E399</f>
        <v>4464</v>
      </c>
      <c r="K399" s="16" t="n">
        <f aca="false">IF(D399=0,0,I399/D399)</f>
        <v>0.775</v>
      </c>
      <c r="L399" s="16" t="n">
        <f aca="false">IF(J399=0,0,F399/J399)</f>
        <v>0.924731182795699</v>
      </c>
      <c r="M399" s="16" t="n">
        <f aca="false">IF(F399=0,0,G399/F399)</f>
        <v>0.980135658914729</v>
      </c>
      <c r="N399" s="16" t="n">
        <f aca="false">K399*L399*M399</f>
        <v>0.702430555555556</v>
      </c>
      <c r="O399" s="19" t="n">
        <f aca="false">MONTH(A399)</f>
        <v>8</v>
      </c>
      <c r="P399" s="19" t="n">
        <f aca="false">INT((A399-DATE(2026,7,1))/7)+1</f>
        <v>7</v>
      </c>
    </row>
    <row r="400" customFormat="false" ht="15" hidden="false" customHeight="false" outlineLevel="0" collapsed="false">
      <c r="A400" s="25" t="n">
        <v>46248</v>
      </c>
      <c r="B400" s="26" t="s">
        <v>16</v>
      </c>
      <c r="C400" s="26" t="s">
        <v>74</v>
      </c>
      <c r="D400" s="26" t="n">
        <v>480</v>
      </c>
      <c r="E400" s="26" t="n">
        <v>12</v>
      </c>
      <c r="F400" s="26" t="n">
        <v>4712</v>
      </c>
      <c r="G400" s="26" t="n">
        <v>4627</v>
      </c>
      <c r="H400" s="19" t="n">
        <f aca="false">SUMIFS(Paradas!$E$2:$E$1973,Paradas!$A$2:$A$1973,A400,Paradas!$B$2:$B$1973,B400,Paradas!$C$2:$C$1973,C400)</f>
        <v>35</v>
      </c>
      <c r="I400" s="19" t="n">
        <f aca="false">D400-H400</f>
        <v>445</v>
      </c>
      <c r="J400" s="19" t="n">
        <f aca="false">I400*E400</f>
        <v>5340</v>
      </c>
      <c r="K400" s="16" t="n">
        <f aca="false">IF(D400=0,0,I400/D400)</f>
        <v>0.927083333333333</v>
      </c>
      <c r="L400" s="16" t="n">
        <f aca="false">IF(J400=0,0,F400/J400)</f>
        <v>0.882397003745318</v>
      </c>
      <c r="M400" s="16" t="n">
        <f aca="false">IF(F400=0,0,G400/F400)</f>
        <v>0.981960950764007</v>
      </c>
      <c r="N400" s="16" t="n">
        <f aca="false">K400*L400*M400</f>
        <v>0.803298611111111</v>
      </c>
      <c r="O400" s="19" t="n">
        <f aca="false">MONTH(A400)</f>
        <v>8</v>
      </c>
      <c r="P400" s="19" t="n">
        <f aca="false">INT((A400-DATE(2026,7,1))/7)+1</f>
        <v>7</v>
      </c>
    </row>
    <row r="401" customFormat="false" ht="15" hidden="false" customHeight="false" outlineLevel="0" collapsed="false">
      <c r="A401" s="25" t="n">
        <v>46248</v>
      </c>
      <c r="B401" s="26" t="s">
        <v>17</v>
      </c>
      <c r="C401" s="26" t="s">
        <v>72</v>
      </c>
      <c r="D401" s="26" t="n">
        <v>480</v>
      </c>
      <c r="E401" s="26" t="n">
        <v>10</v>
      </c>
      <c r="F401" s="26" t="n">
        <v>3565</v>
      </c>
      <c r="G401" s="26" t="n">
        <v>3470</v>
      </c>
      <c r="H401" s="19" t="n">
        <f aca="false">SUMIFS(Paradas!$E$2:$E$1973,Paradas!$A$2:$A$1973,A401,Paradas!$B$2:$B$1973,B401,Paradas!$C$2:$C$1973,C401)</f>
        <v>94</v>
      </c>
      <c r="I401" s="19" t="n">
        <f aca="false">D401-H401</f>
        <v>386</v>
      </c>
      <c r="J401" s="19" t="n">
        <f aca="false">I401*E401</f>
        <v>3860</v>
      </c>
      <c r="K401" s="16" t="n">
        <f aca="false">IF(D401=0,0,I401/D401)</f>
        <v>0.804166666666667</v>
      </c>
      <c r="L401" s="16" t="n">
        <f aca="false">IF(J401=0,0,F401/J401)</f>
        <v>0.923575129533679</v>
      </c>
      <c r="M401" s="16" t="n">
        <f aca="false">IF(F401=0,0,G401/F401)</f>
        <v>0.973352033660589</v>
      </c>
      <c r="N401" s="16" t="n">
        <f aca="false">K401*L401*M401</f>
        <v>0.722916666666667</v>
      </c>
      <c r="O401" s="19" t="n">
        <f aca="false">MONTH(A401)</f>
        <v>8</v>
      </c>
      <c r="P401" s="19" t="n">
        <f aca="false">INT((A401-DATE(2026,7,1))/7)+1</f>
        <v>7</v>
      </c>
    </row>
    <row r="402" customFormat="false" ht="15" hidden="false" customHeight="false" outlineLevel="0" collapsed="false">
      <c r="A402" s="25" t="n">
        <v>46248</v>
      </c>
      <c r="B402" s="26" t="s">
        <v>17</v>
      </c>
      <c r="C402" s="26" t="s">
        <v>73</v>
      </c>
      <c r="D402" s="26" t="n">
        <v>480</v>
      </c>
      <c r="E402" s="26" t="n">
        <v>10</v>
      </c>
      <c r="F402" s="26" t="n">
        <v>3032</v>
      </c>
      <c r="G402" s="26" t="n">
        <v>2884</v>
      </c>
      <c r="H402" s="19" t="n">
        <f aca="false">SUMIFS(Paradas!$E$2:$E$1973,Paradas!$A$2:$A$1973,A402,Paradas!$B$2:$B$1973,B402,Paradas!$C$2:$C$1973,C402)</f>
        <v>149</v>
      </c>
      <c r="I402" s="19" t="n">
        <f aca="false">D402-H402</f>
        <v>331</v>
      </c>
      <c r="J402" s="19" t="n">
        <f aca="false">I402*E402</f>
        <v>3310</v>
      </c>
      <c r="K402" s="16" t="n">
        <f aca="false">IF(D402=0,0,I402/D402)</f>
        <v>0.689583333333333</v>
      </c>
      <c r="L402" s="16" t="n">
        <f aca="false">IF(J402=0,0,F402/J402)</f>
        <v>0.916012084592145</v>
      </c>
      <c r="M402" s="16" t="n">
        <f aca="false">IF(F402=0,0,G402/F402)</f>
        <v>0.951187335092348</v>
      </c>
      <c r="N402" s="16" t="n">
        <f aca="false">K402*L402*M402</f>
        <v>0.600833333333333</v>
      </c>
      <c r="O402" s="19" t="n">
        <f aca="false">MONTH(A402)</f>
        <v>8</v>
      </c>
      <c r="P402" s="19" t="n">
        <f aca="false">INT((A402-DATE(2026,7,1))/7)+1</f>
        <v>7</v>
      </c>
    </row>
    <row r="403" customFormat="false" ht="15" hidden="false" customHeight="false" outlineLevel="0" collapsed="false">
      <c r="A403" s="25" t="n">
        <v>46248</v>
      </c>
      <c r="B403" s="26" t="s">
        <v>17</v>
      </c>
      <c r="C403" s="26" t="s">
        <v>74</v>
      </c>
      <c r="D403" s="26" t="n">
        <v>480</v>
      </c>
      <c r="E403" s="26" t="n">
        <v>10</v>
      </c>
      <c r="F403" s="26" t="n">
        <v>3633</v>
      </c>
      <c r="G403" s="26" t="n">
        <v>3481</v>
      </c>
      <c r="H403" s="19" t="n">
        <f aca="false">SUMIFS(Paradas!$E$2:$E$1973,Paradas!$A$2:$A$1973,A403,Paradas!$B$2:$B$1973,B403,Paradas!$C$2:$C$1973,C403)</f>
        <v>26</v>
      </c>
      <c r="I403" s="19" t="n">
        <f aca="false">D403-H403</f>
        <v>454</v>
      </c>
      <c r="J403" s="19" t="n">
        <f aca="false">I403*E403</f>
        <v>4540</v>
      </c>
      <c r="K403" s="16" t="n">
        <f aca="false">IF(D403=0,0,I403/D403)</f>
        <v>0.945833333333333</v>
      </c>
      <c r="L403" s="16" t="n">
        <f aca="false">IF(J403=0,0,F403/J403)</f>
        <v>0.800220264317181</v>
      </c>
      <c r="M403" s="16" t="n">
        <f aca="false">IF(F403=0,0,G403/F403)</f>
        <v>0.958161299201762</v>
      </c>
      <c r="N403" s="16" t="n">
        <f aca="false">K403*L403*M403</f>
        <v>0.725208333333333</v>
      </c>
      <c r="O403" s="19" t="n">
        <f aca="false">MONTH(A403)</f>
        <v>8</v>
      </c>
      <c r="P403" s="19" t="n">
        <f aca="false">INT((A403-DATE(2026,7,1))/7)+1</f>
        <v>7</v>
      </c>
    </row>
    <row r="404" customFormat="false" ht="15" hidden="false" customHeight="false" outlineLevel="0" collapsed="false">
      <c r="A404" s="25" t="n">
        <v>46248</v>
      </c>
      <c r="B404" s="26" t="s">
        <v>18</v>
      </c>
      <c r="C404" s="26" t="s">
        <v>72</v>
      </c>
      <c r="D404" s="26" t="n">
        <v>480</v>
      </c>
      <c r="E404" s="26" t="n">
        <v>8</v>
      </c>
      <c r="F404" s="26" t="n">
        <v>3381</v>
      </c>
      <c r="G404" s="26" t="n">
        <v>3324</v>
      </c>
      <c r="H404" s="19" t="n">
        <f aca="false">SUMIFS(Paradas!$E$2:$E$1973,Paradas!$A$2:$A$1973,A404,Paradas!$B$2:$B$1973,B404,Paradas!$C$2:$C$1973,C404)</f>
        <v>0</v>
      </c>
      <c r="I404" s="19" t="n">
        <f aca="false">D404-H404</f>
        <v>480</v>
      </c>
      <c r="J404" s="19" t="n">
        <f aca="false">I404*E404</f>
        <v>3840</v>
      </c>
      <c r="K404" s="16" t="n">
        <f aca="false">IF(D404=0,0,I404/D404)</f>
        <v>1</v>
      </c>
      <c r="L404" s="16" t="n">
        <f aca="false">IF(J404=0,0,F404/J404)</f>
        <v>0.88046875</v>
      </c>
      <c r="M404" s="16" t="n">
        <f aca="false">IF(F404=0,0,G404/F404)</f>
        <v>0.983141082519965</v>
      </c>
      <c r="N404" s="16" t="n">
        <f aca="false">K404*L404*M404</f>
        <v>0.865625</v>
      </c>
      <c r="O404" s="19" t="n">
        <f aca="false">MONTH(A404)</f>
        <v>8</v>
      </c>
      <c r="P404" s="19" t="n">
        <f aca="false">INT((A404-DATE(2026,7,1))/7)+1</f>
        <v>7</v>
      </c>
    </row>
    <row r="405" customFormat="false" ht="15" hidden="false" customHeight="false" outlineLevel="0" collapsed="false">
      <c r="A405" s="25" t="n">
        <v>46248</v>
      </c>
      <c r="B405" s="26" t="s">
        <v>18</v>
      </c>
      <c r="C405" s="26" t="s">
        <v>73</v>
      </c>
      <c r="D405" s="26" t="n">
        <v>480</v>
      </c>
      <c r="E405" s="26" t="n">
        <v>8</v>
      </c>
      <c r="F405" s="26" t="n">
        <v>2700</v>
      </c>
      <c r="G405" s="26" t="n">
        <v>2681</v>
      </c>
      <c r="H405" s="19" t="n">
        <f aca="false">SUMIFS(Paradas!$E$2:$E$1973,Paradas!$A$2:$A$1973,A405,Paradas!$B$2:$B$1973,B405,Paradas!$C$2:$C$1973,C405)</f>
        <v>86</v>
      </c>
      <c r="I405" s="19" t="n">
        <f aca="false">D405-H405</f>
        <v>394</v>
      </c>
      <c r="J405" s="19" t="n">
        <f aca="false">I405*E405</f>
        <v>3152</v>
      </c>
      <c r="K405" s="16" t="n">
        <f aca="false">IF(D405=0,0,I405/D405)</f>
        <v>0.820833333333333</v>
      </c>
      <c r="L405" s="16" t="n">
        <f aca="false">IF(J405=0,0,F405/J405)</f>
        <v>0.856598984771574</v>
      </c>
      <c r="M405" s="16" t="n">
        <f aca="false">IF(F405=0,0,G405/F405)</f>
        <v>0.992962962962963</v>
      </c>
      <c r="N405" s="16" t="n">
        <f aca="false">K405*L405*M405</f>
        <v>0.698177083333333</v>
      </c>
      <c r="O405" s="19" t="n">
        <f aca="false">MONTH(A405)</f>
        <v>8</v>
      </c>
      <c r="P405" s="19" t="n">
        <f aca="false">INT((A405-DATE(2026,7,1))/7)+1</f>
        <v>7</v>
      </c>
    </row>
    <row r="406" customFormat="false" ht="15" hidden="false" customHeight="false" outlineLevel="0" collapsed="false">
      <c r="A406" s="25" t="n">
        <v>46248</v>
      </c>
      <c r="B406" s="26" t="s">
        <v>18</v>
      </c>
      <c r="C406" s="26" t="s">
        <v>74</v>
      </c>
      <c r="D406" s="26" t="n">
        <v>480</v>
      </c>
      <c r="E406" s="26" t="n">
        <v>8</v>
      </c>
      <c r="F406" s="26" t="n">
        <v>2398</v>
      </c>
      <c r="G406" s="26" t="n">
        <v>2357</v>
      </c>
      <c r="H406" s="19" t="n">
        <f aca="false">SUMIFS(Paradas!$E$2:$E$1973,Paradas!$A$2:$A$1973,A406,Paradas!$B$2:$B$1973,B406,Paradas!$C$2:$C$1973,C406)</f>
        <v>131</v>
      </c>
      <c r="I406" s="19" t="n">
        <f aca="false">D406-H406</f>
        <v>349</v>
      </c>
      <c r="J406" s="19" t="n">
        <f aca="false">I406*E406</f>
        <v>2792</v>
      </c>
      <c r="K406" s="16" t="n">
        <f aca="false">IF(D406=0,0,I406/D406)</f>
        <v>0.727083333333333</v>
      </c>
      <c r="L406" s="16" t="n">
        <f aca="false">IF(J406=0,0,F406/J406)</f>
        <v>0.858882521489971</v>
      </c>
      <c r="M406" s="16" t="n">
        <f aca="false">IF(F406=0,0,G406/F406)</f>
        <v>0.982902418682235</v>
      </c>
      <c r="N406" s="16" t="n">
        <f aca="false">K406*L406*M406</f>
        <v>0.613802083333333</v>
      </c>
      <c r="O406" s="19" t="n">
        <f aca="false">MONTH(A406)</f>
        <v>8</v>
      </c>
      <c r="P406" s="19" t="n">
        <f aca="false">INT((A406-DATE(2026,7,1))/7)+1</f>
        <v>7</v>
      </c>
    </row>
    <row r="407" customFormat="false" ht="15" hidden="false" customHeight="false" outlineLevel="0" collapsed="false">
      <c r="A407" s="25" t="n">
        <v>46249</v>
      </c>
      <c r="B407" s="26" t="s">
        <v>16</v>
      </c>
      <c r="C407" s="26" t="s">
        <v>72</v>
      </c>
      <c r="D407" s="26" t="n">
        <v>480</v>
      </c>
      <c r="E407" s="26" t="n">
        <v>12</v>
      </c>
      <c r="F407" s="26" t="n">
        <v>5046</v>
      </c>
      <c r="G407" s="26" t="n">
        <v>4970</v>
      </c>
      <c r="H407" s="19" t="n">
        <f aca="false">SUMIFS(Paradas!$E$2:$E$1973,Paradas!$A$2:$A$1973,A407,Paradas!$B$2:$B$1973,B407,Paradas!$C$2:$C$1973,C407)</f>
        <v>43</v>
      </c>
      <c r="I407" s="19" t="n">
        <f aca="false">D407-H407</f>
        <v>437</v>
      </c>
      <c r="J407" s="19" t="n">
        <f aca="false">I407*E407</f>
        <v>5244</v>
      </c>
      <c r="K407" s="16" t="n">
        <f aca="false">IF(D407=0,0,I407/D407)</f>
        <v>0.910416666666667</v>
      </c>
      <c r="L407" s="16" t="n">
        <f aca="false">IF(J407=0,0,F407/J407)</f>
        <v>0.962242562929062</v>
      </c>
      <c r="M407" s="16" t="n">
        <f aca="false">IF(F407=0,0,G407/F407)</f>
        <v>0.984938565200159</v>
      </c>
      <c r="N407" s="16" t="n">
        <f aca="false">K407*L407*M407</f>
        <v>0.862847222222222</v>
      </c>
      <c r="O407" s="19" t="n">
        <f aca="false">MONTH(A407)</f>
        <v>8</v>
      </c>
      <c r="P407" s="19" t="n">
        <f aca="false">INT((A407-DATE(2026,7,1))/7)+1</f>
        <v>7</v>
      </c>
    </row>
    <row r="408" customFormat="false" ht="15" hidden="false" customHeight="false" outlineLevel="0" collapsed="false">
      <c r="A408" s="25" t="n">
        <v>46249</v>
      </c>
      <c r="B408" s="26" t="s">
        <v>16</v>
      </c>
      <c r="C408" s="26" t="s">
        <v>73</v>
      </c>
      <c r="D408" s="26" t="n">
        <v>480</v>
      </c>
      <c r="E408" s="26" t="n">
        <v>12</v>
      </c>
      <c r="F408" s="26" t="n">
        <v>3738</v>
      </c>
      <c r="G408" s="26" t="n">
        <v>3674</v>
      </c>
      <c r="H408" s="19" t="n">
        <f aca="false">SUMIFS(Paradas!$E$2:$E$1973,Paradas!$A$2:$A$1973,A408,Paradas!$B$2:$B$1973,B408,Paradas!$C$2:$C$1973,C408)</f>
        <v>111</v>
      </c>
      <c r="I408" s="19" t="n">
        <f aca="false">D408-H408</f>
        <v>369</v>
      </c>
      <c r="J408" s="19" t="n">
        <f aca="false">I408*E408</f>
        <v>4428</v>
      </c>
      <c r="K408" s="16" t="n">
        <f aca="false">IF(D408=0,0,I408/D408)</f>
        <v>0.76875</v>
      </c>
      <c r="L408" s="16" t="n">
        <f aca="false">IF(J408=0,0,F408/J408)</f>
        <v>0.844173441734417</v>
      </c>
      <c r="M408" s="16" t="n">
        <f aca="false">IF(F408=0,0,G408/F408)</f>
        <v>0.982878544676298</v>
      </c>
      <c r="N408" s="16" t="n">
        <f aca="false">K408*L408*M408</f>
        <v>0.637847222222222</v>
      </c>
      <c r="O408" s="19" t="n">
        <f aca="false">MONTH(A408)</f>
        <v>8</v>
      </c>
      <c r="P408" s="19" t="n">
        <f aca="false">INT((A408-DATE(2026,7,1))/7)+1</f>
        <v>7</v>
      </c>
    </row>
    <row r="409" customFormat="false" ht="15" hidden="false" customHeight="false" outlineLevel="0" collapsed="false">
      <c r="A409" s="25" t="n">
        <v>46249</v>
      </c>
      <c r="B409" s="26" t="s">
        <v>16</v>
      </c>
      <c r="C409" s="26" t="s">
        <v>74</v>
      </c>
      <c r="D409" s="26" t="n">
        <v>480</v>
      </c>
      <c r="E409" s="26" t="n">
        <v>12</v>
      </c>
      <c r="F409" s="26" t="n">
        <v>3637</v>
      </c>
      <c r="G409" s="26" t="n">
        <v>3544</v>
      </c>
      <c r="H409" s="19" t="n">
        <f aca="false">SUMIFS(Paradas!$E$2:$E$1973,Paradas!$A$2:$A$1973,A409,Paradas!$B$2:$B$1973,B409,Paradas!$C$2:$C$1973,C409)</f>
        <v>131</v>
      </c>
      <c r="I409" s="19" t="n">
        <f aca="false">D409-H409</f>
        <v>349</v>
      </c>
      <c r="J409" s="19" t="n">
        <f aca="false">I409*E409</f>
        <v>4188</v>
      </c>
      <c r="K409" s="16" t="n">
        <f aca="false">IF(D409=0,0,I409/D409)</f>
        <v>0.727083333333333</v>
      </c>
      <c r="L409" s="16" t="n">
        <f aca="false">IF(J409=0,0,F409/J409)</f>
        <v>0.868433619866285</v>
      </c>
      <c r="M409" s="16" t="n">
        <f aca="false">IF(F409=0,0,G409/F409)</f>
        <v>0.974429474841903</v>
      </c>
      <c r="N409" s="16" t="n">
        <f aca="false">K409*L409*M409</f>
        <v>0.615277777777778</v>
      </c>
      <c r="O409" s="19" t="n">
        <f aca="false">MONTH(A409)</f>
        <v>8</v>
      </c>
      <c r="P409" s="19" t="n">
        <f aca="false">INT((A409-DATE(2026,7,1))/7)+1</f>
        <v>7</v>
      </c>
    </row>
    <row r="410" customFormat="false" ht="15" hidden="false" customHeight="false" outlineLevel="0" collapsed="false">
      <c r="A410" s="25" t="n">
        <v>46249</v>
      </c>
      <c r="B410" s="26" t="s">
        <v>17</v>
      </c>
      <c r="C410" s="26" t="s">
        <v>72</v>
      </c>
      <c r="D410" s="26" t="n">
        <v>480</v>
      </c>
      <c r="E410" s="26" t="n">
        <v>10</v>
      </c>
      <c r="F410" s="26" t="n">
        <v>2964</v>
      </c>
      <c r="G410" s="26" t="n">
        <v>2819</v>
      </c>
      <c r="H410" s="19" t="n">
        <f aca="false">SUMIFS(Paradas!$E$2:$E$1973,Paradas!$A$2:$A$1973,A410,Paradas!$B$2:$B$1973,B410,Paradas!$C$2:$C$1973,C410)</f>
        <v>120</v>
      </c>
      <c r="I410" s="19" t="n">
        <f aca="false">D410-H410</f>
        <v>360</v>
      </c>
      <c r="J410" s="19" t="n">
        <f aca="false">I410*E410</f>
        <v>3600</v>
      </c>
      <c r="K410" s="16" t="n">
        <f aca="false">IF(D410=0,0,I410/D410)</f>
        <v>0.75</v>
      </c>
      <c r="L410" s="16" t="n">
        <f aca="false">IF(J410=0,0,F410/J410)</f>
        <v>0.823333333333333</v>
      </c>
      <c r="M410" s="16" t="n">
        <f aca="false">IF(F410=0,0,G410/F410)</f>
        <v>0.951079622132254</v>
      </c>
      <c r="N410" s="16" t="n">
        <f aca="false">K410*L410*M410</f>
        <v>0.587291666666667</v>
      </c>
      <c r="O410" s="19" t="n">
        <f aca="false">MONTH(A410)</f>
        <v>8</v>
      </c>
      <c r="P410" s="19" t="n">
        <f aca="false">INT((A410-DATE(2026,7,1))/7)+1</f>
        <v>7</v>
      </c>
    </row>
    <row r="411" customFormat="false" ht="15" hidden="false" customHeight="false" outlineLevel="0" collapsed="false">
      <c r="A411" s="25" t="n">
        <v>46249</v>
      </c>
      <c r="B411" s="26" t="s">
        <v>17</v>
      </c>
      <c r="C411" s="26" t="s">
        <v>73</v>
      </c>
      <c r="D411" s="26" t="n">
        <v>480</v>
      </c>
      <c r="E411" s="26" t="n">
        <v>10</v>
      </c>
      <c r="F411" s="26" t="n">
        <v>4088</v>
      </c>
      <c r="G411" s="26" t="n">
        <v>3950</v>
      </c>
      <c r="H411" s="19" t="n">
        <f aca="false">SUMIFS(Paradas!$E$2:$E$1973,Paradas!$A$2:$A$1973,A411,Paradas!$B$2:$B$1973,B411,Paradas!$C$2:$C$1973,C411)</f>
        <v>17</v>
      </c>
      <c r="I411" s="19" t="n">
        <f aca="false">D411-H411</f>
        <v>463</v>
      </c>
      <c r="J411" s="19" t="n">
        <f aca="false">I411*E411</f>
        <v>4630</v>
      </c>
      <c r="K411" s="16" t="n">
        <f aca="false">IF(D411=0,0,I411/D411)</f>
        <v>0.964583333333333</v>
      </c>
      <c r="L411" s="16" t="n">
        <f aca="false">IF(J411=0,0,F411/J411)</f>
        <v>0.882937365010799</v>
      </c>
      <c r="M411" s="16" t="n">
        <f aca="false">IF(F411=0,0,G411/F411)</f>
        <v>0.966242661448141</v>
      </c>
      <c r="N411" s="16" t="n">
        <f aca="false">K411*L411*M411</f>
        <v>0.822916666666667</v>
      </c>
      <c r="O411" s="19" t="n">
        <f aca="false">MONTH(A411)</f>
        <v>8</v>
      </c>
      <c r="P411" s="19" t="n">
        <f aca="false">INT((A411-DATE(2026,7,1))/7)+1</f>
        <v>7</v>
      </c>
    </row>
    <row r="412" customFormat="false" ht="15" hidden="false" customHeight="false" outlineLevel="0" collapsed="false">
      <c r="A412" s="25" t="n">
        <v>46249</v>
      </c>
      <c r="B412" s="26" t="s">
        <v>17</v>
      </c>
      <c r="C412" s="26" t="s">
        <v>74</v>
      </c>
      <c r="D412" s="26" t="n">
        <v>480</v>
      </c>
      <c r="E412" s="26" t="n">
        <v>10</v>
      </c>
      <c r="F412" s="26" t="n">
        <v>3849</v>
      </c>
      <c r="G412" s="26" t="n">
        <v>3602</v>
      </c>
      <c r="H412" s="19" t="n">
        <f aca="false">SUMIFS(Paradas!$E$2:$E$1973,Paradas!$A$2:$A$1973,A412,Paradas!$B$2:$B$1973,B412,Paradas!$C$2:$C$1973,C412)</f>
        <v>40</v>
      </c>
      <c r="I412" s="19" t="n">
        <f aca="false">D412-H412</f>
        <v>440</v>
      </c>
      <c r="J412" s="19" t="n">
        <f aca="false">I412*E412</f>
        <v>4400</v>
      </c>
      <c r="K412" s="16" t="n">
        <f aca="false">IF(D412=0,0,I412/D412)</f>
        <v>0.916666666666667</v>
      </c>
      <c r="L412" s="16" t="n">
        <f aca="false">IF(J412=0,0,F412/J412)</f>
        <v>0.874772727272727</v>
      </c>
      <c r="M412" s="16" t="n">
        <f aca="false">IF(F412=0,0,G412/F412)</f>
        <v>0.935827487659132</v>
      </c>
      <c r="N412" s="16" t="n">
        <f aca="false">K412*L412*M412</f>
        <v>0.750416666666667</v>
      </c>
      <c r="O412" s="19" t="n">
        <f aca="false">MONTH(A412)</f>
        <v>8</v>
      </c>
      <c r="P412" s="19" t="n">
        <f aca="false">INT((A412-DATE(2026,7,1))/7)+1</f>
        <v>7</v>
      </c>
    </row>
    <row r="413" customFormat="false" ht="15" hidden="false" customHeight="false" outlineLevel="0" collapsed="false">
      <c r="A413" s="25" t="n">
        <v>46249</v>
      </c>
      <c r="B413" s="26" t="s">
        <v>18</v>
      </c>
      <c r="C413" s="26" t="s">
        <v>72</v>
      </c>
      <c r="D413" s="26" t="n">
        <v>480</v>
      </c>
      <c r="E413" s="26" t="n">
        <v>8</v>
      </c>
      <c r="F413" s="26" t="n">
        <v>3045</v>
      </c>
      <c r="G413" s="26" t="n">
        <v>2986</v>
      </c>
      <c r="H413" s="19" t="n">
        <f aca="false">SUMIFS(Paradas!$E$2:$E$1973,Paradas!$A$2:$A$1973,A413,Paradas!$B$2:$B$1973,B413,Paradas!$C$2:$C$1973,C413)</f>
        <v>38</v>
      </c>
      <c r="I413" s="19" t="n">
        <f aca="false">D413-H413</f>
        <v>442</v>
      </c>
      <c r="J413" s="19" t="n">
        <f aca="false">I413*E413</f>
        <v>3536</v>
      </c>
      <c r="K413" s="16" t="n">
        <f aca="false">IF(D413=0,0,I413/D413)</f>
        <v>0.920833333333333</v>
      </c>
      <c r="L413" s="16" t="n">
        <f aca="false">IF(J413=0,0,F413/J413)</f>
        <v>0.861142533936652</v>
      </c>
      <c r="M413" s="16" t="n">
        <f aca="false">IF(F413=0,0,G413/F413)</f>
        <v>0.980623973727422</v>
      </c>
      <c r="N413" s="16" t="n">
        <f aca="false">K413*L413*M413</f>
        <v>0.777604166666667</v>
      </c>
      <c r="O413" s="19" t="n">
        <f aca="false">MONTH(A413)</f>
        <v>8</v>
      </c>
      <c r="P413" s="19" t="n">
        <f aca="false">INT((A413-DATE(2026,7,1))/7)+1</f>
        <v>7</v>
      </c>
    </row>
    <row r="414" customFormat="false" ht="15" hidden="false" customHeight="false" outlineLevel="0" collapsed="false">
      <c r="A414" s="25" t="n">
        <v>46249</v>
      </c>
      <c r="B414" s="26" t="s">
        <v>18</v>
      </c>
      <c r="C414" s="26" t="s">
        <v>73</v>
      </c>
      <c r="D414" s="26" t="n">
        <v>480</v>
      </c>
      <c r="E414" s="26" t="n">
        <v>8</v>
      </c>
      <c r="F414" s="26" t="n">
        <v>3301</v>
      </c>
      <c r="G414" s="26" t="n">
        <v>3177</v>
      </c>
      <c r="H414" s="19" t="n">
        <f aca="false">SUMIFS(Paradas!$E$2:$E$1973,Paradas!$A$2:$A$1973,A414,Paradas!$B$2:$B$1973,B414,Paradas!$C$2:$C$1973,C414)</f>
        <v>0</v>
      </c>
      <c r="I414" s="19" t="n">
        <f aca="false">D414-H414</f>
        <v>480</v>
      </c>
      <c r="J414" s="19" t="n">
        <f aca="false">I414*E414</f>
        <v>3840</v>
      </c>
      <c r="K414" s="16" t="n">
        <f aca="false">IF(D414=0,0,I414/D414)</f>
        <v>1</v>
      </c>
      <c r="L414" s="16" t="n">
        <f aca="false">IF(J414=0,0,F414/J414)</f>
        <v>0.859635416666667</v>
      </c>
      <c r="M414" s="16" t="n">
        <f aca="false">IF(F414=0,0,G414/F414)</f>
        <v>0.96243562556801</v>
      </c>
      <c r="N414" s="16" t="n">
        <f aca="false">K414*L414*M414</f>
        <v>0.82734375</v>
      </c>
      <c r="O414" s="19" t="n">
        <f aca="false">MONTH(A414)</f>
        <v>8</v>
      </c>
      <c r="P414" s="19" t="n">
        <f aca="false">INT((A414-DATE(2026,7,1))/7)+1</f>
        <v>7</v>
      </c>
    </row>
    <row r="415" customFormat="false" ht="15" hidden="false" customHeight="false" outlineLevel="0" collapsed="false">
      <c r="A415" s="25" t="n">
        <v>46249</v>
      </c>
      <c r="B415" s="26" t="s">
        <v>18</v>
      </c>
      <c r="C415" s="26" t="s">
        <v>74</v>
      </c>
      <c r="D415" s="26" t="n">
        <v>480</v>
      </c>
      <c r="E415" s="26" t="n">
        <v>8</v>
      </c>
      <c r="F415" s="26" t="n">
        <v>2825</v>
      </c>
      <c r="G415" s="26" t="n">
        <v>2754</v>
      </c>
      <c r="H415" s="19" t="n">
        <f aca="false">SUMIFS(Paradas!$E$2:$E$1973,Paradas!$A$2:$A$1973,A415,Paradas!$B$2:$B$1973,B415,Paradas!$C$2:$C$1973,C415)</f>
        <v>48</v>
      </c>
      <c r="I415" s="19" t="n">
        <f aca="false">D415-H415</f>
        <v>432</v>
      </c>
      <c r="J415" s="19" t="n">
        <f aca="false">I415*E415</f>
        <v>3456</v>
      </c>
      <c r="K415" s="16" t="n">
        <f aca="false">IF(D415=0,0,I415/D415)</f>
        <v>0.9</v>
      </c>
      <c r="L415" s="16" t="n">
        <f aca="false">IF(J415=0,0,F415/J415)</f>
        <v>0.817418981481482</v>
      </c>
      <c r="M415" s="16" t="n">
        <f aca="false">IF(F415=0,0,G415/F415)</f>
        <v>0.974867256637168</v>
      </c>
      <c r="N415" s="16" t="n">
        <f aca="false">K415*L415*M415</f>
        <v>0.7171875</v>
      </c>
      <c r="O415" s="19" t="n">
        <f aca="false">MONTH(A415)</f>
        <v>8</v>
      </c>
      <c r="P415" s="19" t="n">
        <f aca="false">INT((A415-DATE(2026,7,1))/7)+1</f>
        <v>7</v>
      </c>
    </row>
    <row r="416" customFormat="false" ht="15" hidden="false" customHeight="false" outlineLevel="0" collapsed="false">
      <c r="A416" s="25" t="n">
        <v>46250</v>
      </c>
      <c r="B416" s="26" t="s">
        <v>16</v>
      </c>
      <c r="C416" s="26" t="s">
        <v>72</v>
      </c>
      <c r="D416" s="26" t="n">
        <v>480</v>
      </c>
      <c r="E416" s="26" t="n">
        <v>12</v>
      </c>
      <c r="F416" s="26" t="n">
        <v>4768</v>
      </c>
      <c r="G416" s="26" t="n">
        <v>4687</v>
      </c>
      <c r="H416" s="19" t="n">
        <f aca="false">SUMIFS(Paradas!$E$2:$E$1973,Paradas!$A$2:$A$1973,A416,Paradas!$B$2:$B$1973,B416,Paradas!$C$2:$C$1973,C416)</f>
        <v>45</v>
      </c>
      <c r="I416" s="19" t="n">
        <f aca="false">D416-H416</f>
        <v>435</v>
      </c>
      <c r="J416" s="19" t="n">
        <f aca="false">I416*E416</f>
        <v>5220</v>
      </c>
      <c r="K416" s="16" t="n">
        <f aca="false">IF(D416=0,0,I416/D416)</f>
        <v>0.90625</v>
      </c>
      <c r="L416" s="16" t="n">
        <f aca="false">IF(J416=0,0,F416/J416)</f>
        <v>0.913409961685824</v>
      </c>
      <c r="M416" s="16" t="n">
        <f aca="false">IF(F416=0,0,G416/F416)</f>
        <v>0.983011744966443</v>
      </c>
      <c r="N416" s="16" t="n">
        <f aca="false">K416*L416*M416</f>
        <v>0.813715277777778</v>
      </c>
      <c r="O416" s="19" t="n">
        <f aca="false">MONTH(A416)</f>
        <v>8</v>
      </c>
      <c r="P416" s="19" t="n">
        <f aca="false">INT((A416-DATE(2026,7,1))/7)+1</f>
        <v>7</v>
      </c>
    </row>
    <row r="417" customFormat="false" ht="15" hidden="false" customHeight="false" outlineLevel="0" collapsed="false">
      <c r="A417" s="25" t="n">
        <v>46250</v>
      </c>
      <c r="B417" s="26" t="s">
        <v>16</v>
      </c>
      <c r="C417" s="26" t="s">
        <v>73</v>
      </c>
      <c r="D417" s="26" t="n">
        <v>480</v>
      </c>
      <c r="E417" s="26" t="n">
        <v>12</v>
      </c>
      <c r="F417" s="26" t="n">
        <v>3899</v>
      </c>
      <c r="G417" s="26" t="n">
        <v>3830</v>
      </c>
      <c r="H417" s="19" t="n">
        <f aca="false">SUMIFS(Paradas!$E$2:$E$1973,Paradas!$A$2:$A$1973,A417,Paradas!$B$2:$B$1973,B417,Paradas!$C$2:$C$1973,C417)</f>
        <v>110</v>
      </c>
      <c r="I417" s="19" t="n">
        <f aca="false">D417-H417</f>
        <v>370</v>
      </c>
      <c r="J417" s="19" t="n">
        <f aca="false">I417*E417</f>
        <v>4440</v>
      </c>
      <c r="K417" s="16" t="n">
        <f aca="false">IF(D417=0,0,I417/D417)</f>
        <v>0.770833333333333</v>
      </c>
      <c r="L417" s="16" t="n">
        <f aca="false">IF(J417=0,0,F417/J417)</f>
        <v>0.878153153153153</v>
      </c>
      <c r="M417" s="16" t="n">
        <f aca="false">IF(F417=0,0,G417/F417)</f>
        <v>0.98230315465504</v>
      </c>
      <c r="N417" s="16" t="n">
        <f aca="false">K417*L417*M417</f>
        <v>0.664930555555556</v>
      </c>
      <c r="O417" s="19" t="n">
        <f aca="false">MONTH(A417)</f>
        <v>8</v>
      </c>
      <c r="P417" s="19" t="n">
        <f aca="false">INT((A417-DATE(2026,7,1))/7)+1</f>
        <v>7</v>
      </c>
    </row>
    <row r="418" customFormat="false" ht="15" hidden="false" customHeight="false" outlineLevel="0" collapsed="false">
      <c r="A418" s="25" t="n">
        <v>46250</v>
      </c>
      <c r="B418" s="26" t="s">
        <v>16</v>
      </c>
      <c r="C418" s="26" t="s">
        <v>74</v>
      </c>
      <c r="D418" s="26" t="n">
        <v>480</v>
      </c>
      <c r="E418" s="26" t="n">
        <v>12</v>
      </c>
      <c r="F418" s="26" t="n">
        <v>3478</v>
      </c>
      <c r="G418" s="26" t="n">
        <v>3394</v>
      </c>
      <c r="H418" s="19" t="n">
        <f aca="false">SUMIFS(Paradas!$E$2:$E$1973,Paradas!$A$2:$A$1973,A418,Paradas!$B$2:$B$1973,B418,Paradas!$C$2:$C$1973,C418)</f>
        <v>141</v>
      </c>
      <c r="I418" s="19" t="n">
        <f aca="false">D418-H418</f>
        <v>339</v>
      </c>
      <c r="J418" s="19" t="n">
        <f aca="false">I418*E418</f>
        <v>4068</v>
      </c>
      <c r="K418" s="16" t="n">
        <f aca="false">IF(D418=0,0,I418/D418)</f>
        <v>0.70625</v>
      </c>
      <c r="L418" s="16" t="n">
        <f aca="false">IF(J418=0,0,F418/J418)</f>
        <v>0.854965585054081</v>
      </c>
      <c r="M418" s="16" t="n">
        <f aca="false">IF(F418=0,0,G418/F418)</f>
        <v>0.975848188614146</v>
      </c>
      <c r="N418" s="16" t="n">
        <f aca="false">K418*L418*M418</f>
        <v>0.589236111111111</v>
      </c>
      <c r="O418" s="19" t="n">
        <f aca="false">MONTH(A418)</f>
        <v>8</v>
      </c>
      <c r="P418" s="19" t="n">
        <f aca="false">INT((A418-DATE(2026,7,1))/7)+1</f>
        <v>7</v>
      </c>
    </row>
    <row r="419" customFormat="false" ht="15" hidden="false" customHeight="false" outlineLevel="0" collapsed="false">
      <c r="A419" s="25" t="n">
        <v>46250</v>
      </c>
      <c r="B419" s="26" t="s">
        <v>17</v>
      </c>
      <c r="C419" s="26" t="s">
        <v>72</v>
      </c>
      <c r="D419" s="26" t="n">
        <v>480</v>
      </c>
      <c r="E419" s="26" t="n">
        <v>10</v>
      </c>
      <c r="F419" s="26" t="n">
        <v>3907</v>
      </c>
      <c r="G419" s="26" t="n">
        <v>3745</v>
      </c>
      <c r="H419" s="19" t="n">
        <f aca="false">SUMIFS(Paradas!$E$2:$E$1973,Paradas!$A$2:$A$1973,A419,Paradas!$B$2:$B$1973,B419,Paradas!$C$2:$C$1973,C419)</f>
        <v>38</v>
      </c>
      <c r="I419" s="19" t="n">
        <f aca="false">D419-H419</f>
        <v>442</v>
      </c>
      <c r="J419" s="19" t="n">
        <f aca="false">I419*E419</f>
        <v>4420</v>
      </c>
      <c r="K419" s="16" t="n">
        <f aca="false">IF(D419=0,0,I419/D419)</f>
        <v>0.920833333333333</v>
      </c>
      <c r="L419" s="16" t="n">
        <f aca="false">IF(J419=0,0,F419/J419)</f>
        <v>0.88393665158371</v>
      </c>
      <c r="M419" s="16" t="n">
        <f aca="false">IF(F419=0,0,G419/F419)</f>
        <v>0.95853596109547</v>
      </c>
      <c r="N419" s="16" t="n">
        <f aca="false">K419*L419*M419</f>
        <v>0.780208333333333</v>
      </c>
      <c r="O419" s="19" t="n">
        <f aca="false">MONTH(A419)</f>
        <v>8</v>
      </c>
      <c r="P419" s="19" t="n">
        <f aca="false">INT((A419-DATE(2026,7,1))/7)+1</f>
        <v>7</v>
      </c>
    </row>
    <row r="420" customFormat="false" ht="15" hidden="false" customHeight="false" outlineLevel="0" collapsed="false">
      <c r="A420" s="25" t="n">
        <v>46250</v>
      </c>
      <c r="B420" s="26" t="s">
        <v>17</v>
      </c>
      <c r="C420" s="26" t="s">
        <v>73</v>
      </c>
      <c r="D420" s="26" t="n">
        <v>480</v>
      </c>
      <c r="E420" s="26" t="n">
        <v>10</v>
      </c>
      <c r="F420" s="26" t="n">
        <v>2680</v>
      </c>
      <c r="G420" s="26" t="n">
        <v>2575</v>
      </c>
      <c r="H420" s="19" t="n">
        <f aca="false">SUMIFS(Paradas!$E$2:$E$1973,Paradas!$A$2:$A$1973,A420,Paradas!$B$2:$B$1973,B420,Paradas!$C$2:$C$1973,C420)</f>
        <v>198</v>
      </c>
      <c r="I420" s="19" t="n">
        <f aca="false">D420-H420</f>
        <v>282</v>
      </c>
      <c r="J420" s="19" t="n">
        <f aca="false">I420*E420</f>
        <v>2820</v>
      </c>
      <c r="K420" s="16" t="n">
        <f aca="false">IF(D420=0,0,I420/D420)</f>
        <v>0.5875</v>
      </c>
      <c r="L420" s="16" t="n">
        <f aca="false">IF(J420=0,0,F420/J420)</f>
        <v>0.950354609929078</v>
      </c>
      <c r="M420" s="16" t="n">
        <f aca="false">IF(F420=0,0,G420/F420)</f>
        <v>0.960820895522388</v>
      </c>
      <c r="N420" s="16" t="n">
        <f aca="false">K420*L420*M420</f>
        <v>0.536458333333333</v>
      </c>
      <c r="O420" s="19" t="n">
        <f aca="false">MONTH(A420)</f>
        <v>8</v>
      </c>
      <c r="P420" s="19" t="n">
        <f aca="false">INT((A420-DATE(2026,7,1))/7)+1</f>
        <v>7</v>
      </c>
    </row>
    <row r="421" customFormat="false" ht="15" hidden="false" customHeight="false" outlineLevel="0" collapsed="false">
      <c r="A421" s="25" t="n">
        <v>46250</v>
      </c>
      <c r="B421" s="26" t="s">
        <v>17</v>
      </c>
      <c r="C421" s="26" t="s">
        <v>74</v>
      </c>
      <c r="D421" s="26" t="n">
        <v>480</v>
      </c>
      <c r="E421" s="26" t="n">
        <v>10</v>
      </c>
      <c r="F421" s="26" t="n">
        <v>3910</v>
      </c>
      <c r="G421" s="26" t="n">
        <v>3754</v>
      </c>
      <c r="H421" s="19" t="n">
        <f aca="false">SUMIFS(Paradas!$E$2:$E$1973,Paradas!$A$2:$A$1973,A421,Paradas!$B$2:$B$1973,B421,Paradas!$C$2:$C$1973,C421)</f>
        <v>0</v>
      </c>
      <c r="I421" s="19" t="n">
        <f aca="false">D421-H421</f>
        <v>480</v>
      </c>
      <c r="J421" s="19" t="n">
        <f aca="false">I421*E421</f>
        <v>4800</v>
      </c>
      <c r="K421" s="16" t="n">
        <f aca="false">IF(D421=0,0,I421/D421)</f>
        <v>1</v>
      </c>
      <c r="L421" s="16" t="n">
        <f aca="false">IF(J421=0,0,F421/J421)</f>
        <v>0.814583333333333</v>
      </c>
      <c r="M421" s="16" t="n">
        <f aca="false">IF(F421=0,0,G421/F421)</f>
        <v>0.960102301790281</v>
      </c>
      <c r="N421" s="16" t="n">
        <f aca="false">K421*L421*M421</f>
        <v>0.782083333333333</v>
      </c>
      <c r="O421" s="19" t="n">
        <f aca="false">MONTH(A421)</f>
        <v>8</v>
      </c>
      <c r="P421" s="19" t="n">
        <f aca="false">INT((A421-DATE(2026,7,1))/7)+1</f>
        <v>7</v>
      </c>
    </row>
    <row r="422" customFormat="false" ht="15" hidden="false" customHeight="false" outlineLevel="0" collapsed="false">
      <c r="A422" s="25" t="n">
        <v>46250</v>
      </c>
      <c r="B422" s="26" t="s">
        <v>18</v>
      </c>
      <c r="C422" s="26" t="s">
        <v>72</v>
      </c>
      <c r="D422" s="26" t="n">
        <v>480</v>
      </c>
      <c r="E422" s="26" t="n">
        <v>8</v>
      </c>
      <c r="F422" s="26" t="n">
        <v>3182</v>
      </c>
      <c r="G422" s="26" t="n">
        <v>3101</v>
      </c>
      <c r="H422" s="19" t="n">
        <f aca="false">SUMIFS(Paradas!$E$2:$E$1973,Paradas!$A$2:$A$1973,A422,Paradas!$B$2:$B$1973,B422,Paradas!$C$2:$C$1973,C422)</f>
        <v>34</v>
      </c>
      <c r="I422" s="19" t="n">
        <f aca="false">D422-H422</f>
        <v>446</v>
      </c>
      <c r="J422" s="19" t="n">
        <f aca="false">I422*E422</f>
        <v>3568</v>
      </c>
      <c r="K422" s="16" t="n">
        <f aca="false">IF(D422=0,0,I422/D422)</f>
        <v>0.929166666666667</v>
      </c>
      <c r="L422" s="16" t="n">
        <f aca="false">IF(J422=0,0,F422/J422)</f>
        <v>0.891816143497758</v>
      </c>
      <c r="M422" s="16" t="n">
        <f aca="false">IF(F422=0,0,G422/F422)</f>
        <v>0.974544311753614</v>
      </c>
      <c r="N422" s="16" t="n">
        <f aca="false">K422*L422*M422</f>
        <v>0.807552083333333</v>
      </c>
      <c r="O422" s="19" t="n">
        <f aca="false">MONTH(A422)</f>
        <v>8</v>
      </c>
      <c r="P422" s="19" t="n">
        <f aca="false">INT((A422-DATE(2026,7,1))/7)+1</f>
        <v>7</v>
      </c>
    </row>
    <row r="423" customFormat="false" ht="15" hidden="false" customHeight="false" outlineLevel="0" collapsed="false">
      <c r="A423" s="25" t="n">
        <v>46250</v>
      </c>
      <c r="B423" s="26" t="s">
        <v>18</v>
      </c>
      <c r="C423" s="26" t="s">
        <v>73</v>
      </c>
      <c r="D423" s="26" t="n">
        <v>480</v>
      </c>
      <c r="E423" s="26" t="n">
        <v>8</v>
      </c>
      <c r="F423" s="26" t="n">
        <v>3160</v>
      </c>
      <c r="G423" s="26" t="n">
        <v>3051</v>
      </c>
      <c r="H423" s="19" t="n">
        <f aca="false">SUMIFS(Paradas!$E$2:$E$1973,Paradas!$A$2:$A$1973,A423,Paradas!$B$2:$B$1973,B423,Paradas!$C$2:$C$1973,C423)</f>
        <v>47</v>
      </c>
      <c r="I423" s="19" t="n">
        <f aca="false">D423-H423</f>
        <v>433</v>
      </c>
      <c r="J423" s="19" t="n">
        <f aca="false">I423*E423</f>
        <v>3464</v>
      </c>
      <c r="K423" s="16" t="n">
        <f aca="false">IF(D423=0,0,I423/D423)</f>
        <v>0.902083333333333</v>
      </c>
      <c r="L423" s="16" t="n">
        <f aca="false">IF(J423=0,0,F423/J423)</f>
        <v>0.912240184757506</v>
      </c>
      <c r="M423" s="16" t="n">
        <f aca="false">IF(F423=0,0,G423/F423)</f>
        <v>0.965506329113924</v>
      </c>
      <c r="N423" s="16" t="n">
        <f aca="false">K423*L423*M423</f>
        <v>0.79453125</v>
      </c>
      <c r="O423" s="19" t="n">
        <f aca="false">MONTH(A423)</f>
        <v>8</v>
      </c>
      <c r="P423" s="19" t="n">
        <f aca="false">INT((A423-DATE(2026,7,1))/7)+1</f>
        <v>7</v>
      </c>
    </row>
    <row r="424" customFormat="false" ht="15" hidden="false" customHeight="false" outlineLevel="0" collapsed="false">
      <c r="A424" s="25" t="n">
        <v>46250</v>
      </c>
      <c r="B424" s="26" t="s">
        <v>18</v>
      </c>
      <c r="C424" s="26" t="s">
        <v>74</v>
      </c>
      <c r="D424" s="26" t="n">
        <v>480</v>
      </c>
      <c r="E424" s="26" t="n">
        <v>8</v>
      </c>
      <c r="F424" s="26" t="n">
        <v>2952</v>
      </c>
      <c r="G424" s="26" t="n">
        <v>2910</v>
      </c>
      <c r="H424" s="19" t="n">
        <f aca="false">SUMIFS(Paradas!$E$2:$E$1973,Paradas!$A$2:$A$1973,A424,Paradas!$B$2:$B$1973,B424,Paradas!$C$2:$C$1973,C424)</f>
        <v>29</v>
      </c>
      <c r="I424" s="19" t="n">
        <f aca="false">D424-H424</f>
        <v>451</v>
      </c>
      <c r="J424" s="19" t="n">
        <f aca="false">I424*E424</f>
        <v>3608</v>
      </c>
      <c r="K424" s="16" t="n">
        <f aca="false">IF(D424=0,0,I424/D424)</f>
        <v>0.939583333333333</v>
      </c>
      <c r="L424" s="16" t="n">
        <f aca="false">IF(J424=0,0,F424/J424)</f>
        <v>0.818181818181818</v>
      </c>
      <c r="M424" s="16" t="n">
        <f aca="false">IF(F424=0,0,G424/F424)</f>
        <v>0.985772357723577</v>
      </c>
      <c r="N424" s="16" t="n">
        <f aca="false">K424*L424*M424</f>
        <v>0.7578125</v>
      </c>
      <c r="O424" s="19" t="n">
        <f aca="false">MONTH(A424)</f>
        <v>8</v>
      </c>
      <c r="P424" s="19" t="n">
        <f aca="false">INT((A424-DATE(2026,7,1))/7)+1</f>
        <v>7</v>
      </c>
    </row>
    <row r="425" customFormat="false" ht="15" hidden="false" customHeight="false" outlineLevel="0" collapsed="false">
      <c r="A425" s="25" t="n">
        <v>46251</v>
      </c>
      <c r="B425" s="26" t="s">
        <v>16</v>
      </c>
      <c r="C425" s="26" t="s">
        <v>72</v>
      </c>
      <c r="D425" s="26" t="n">
        <v>480</v>
      </c>
      <c r="E425" s="26" t="n">
        <v>12</v>
      </c>
      <c r="F425" s="26" t="n">
        <v>4698</v>
      </c>
      <c r="G425" s="26" t="n">
        <v>4593</v>
      </c>
      <c r="H425" s="19" t="n">
        <f aca="false">SUMIFS(Paradas!$E$2:$E$1973,Paradas!$A$2:$A$1973,A425,Paradas!$B$2:$B$1973,B425,Paradas!$C$2:$C$1973,C425)</f>
        <v>55</v>
      </c>
      <c r="I425" s="19" t="n">
        <f aca="false">D425-H425</f>
        <v>425</v>
      </c>
      <c r="J425" s="19" t="n">
        <f aca="false">I425*E425</f>
        <v>5100</v>
      </c>
      <c r="K425" s="16" t="n">
        <f aca="false">IF(D425=0,0,I425/D425)</f>
        <v>0.885416666666667</v>
      </c>
      <c r="L425" s="16" t="n">
        <f aca="false">IF(J425=0,0,F425/J425)</f>
        <v>0.921176470588235</v>
      </c>
      <c r="M425" s="16" t="n">
        <f aca="false">IF(F425=0,0,G425/F425)</f>
        <v>0.97765006385696</v>
      </c>
      <c r="N425" s="16" t="n">
        <f aca="false">K425*L425*M425</f>
        <v>0.797395833333333</v>
      </c>
      <c r="O425" s="19" t="n">
        <f aca="false">MONTH(A425)</f>
        <v>8</v>
      </c>
      <c r="P425" s="19" t="n">
        <f aca="false">INT((A425-DATE(2026,7,1))/7)+1</f>
        <v>7</v>
      </c>
    </row>
    <row r="426" customFormat="false" ht="15" hidden="false" customHeight="false" outlineLevel="0" collapsed="false">
      <c r="A426" s="25" t="n">
        <v>46251</v>
      </c>
      <c r="B426" s="26" t="s">
        <v>16</v>
      </c>
      <c r="C426" s="26" t="s">
        <v>73</v>
      </c>
      <c r="D426" s="26" t="n">
        <v>480</v>
      </c>
      <c r="E426" s="26" t="n">
        <v>12</v>
      </c>
      <c r="F426" s="26" t="n">
        <v>4602</v>
      </c>
      <c r="G426" s="26" t="n">
        <v>4454</v>
      </c>
      <c r="H426" s="19" t="n">
        <f aca="false">SUMIFS(Paradas!$E$2:$E$1973,Paradas!$A$2:$A$1973,A426,Paradas!$B$2:$B$1973,B426,Paradas!$C$2:$C$1973,C426)</f>
        <v>86</v>
      </c>
      <c r="I426" s="19" t="n">
        <f aca="false">D426-H426</f>
        <v>394</v>
      </c>
      <c r="J426" s="19" t="n">
        <f aca="false">I426*E426</f>
        <v>4728</v>
      </c>
      <c r="K426" s="16" t="n">
        <f aca="false">IF(D426=0,0,I426/D426)</f>
        <v>0.820833333333333</v>
      </c>
      <c r="L426" s="16" t="n">
        <f aca="false">IF(J426=0,0,F426/J426)</f>
        <v>0.973350253807107</v>
      </c>
      <c r="M426" s="16" t="n">
        <f aca="false">IF(F426=0,0,G426/F426)</f>
        <v>0.967840069534985</v>
      </c>
      <c r="N426" s="16" t="n">
        <f aca="false">K426*L426*M426</f>
        <v>0.773263888888889</v>
      </c>
      <c r="O426" s="19" t="n">
        <f aca="false">MONTH(A426)</f>
        <v>8</v>
      </c>
      <c r="P426" s="19" t="n">
        <f aca="false">INT((A426-DATE(2026,7,1))/7)+1</f>
        <v>7</v>
      </c>
    </row>
    <row r="427" customFormat="false" ht="15" hidden="false" customHeight="false" outlineLevel="0" collapsed="false">
      <c r="A427" s="25" t="n">
        <v>46251</v>
      </c>
      <c r="B427" s="26" t="s">
        <v>16</v>
      </c>
      <c r="C427" s="26" t="s">
        <v>74</v>
      </c>
      <c r="D427" s="26" t="n">
        <v>480</v>
      </c>
      <c r="E427" s="26" t="n">
        <v>12</v>
      </c>
      <c r="F427" s="26" t="n">
        <v>4359</v>
      </c>
      <c r="G427" s="26" t="n">
        <v>4219</v>
      </c>
      <c r="H427" s="19" t="n">
        <f aca="false">SUMIFS(Paradas!$E$2:$E$1973,Paradas!$A$2:$A$1973,A427,Paradas!$B$2:$B$1973,B427,Paradas!$C$2:$C$1973,C427)</f>
        <v>23</v>
      </c>
      <c r="I427" s="19" t="n">
        <f aca="false">D427-H427</f>
        <v>457</v>
      </c>
      <c r="J427" s="19" t="n">
        <f aca="false">I427*E427</f>
        <v>5484</v>
      </c>
      <c r="K427" s="16" t="n">
        <f aca="false">IF(D427=0,0,I427/D427)</f>
        <v>0.952083333333333</v>
      </c>
      <c r="L427" s="16" t="n">
        <f aca="false">IF(J427=0,0,F427/J427)</f>
        <v>0.794857768052516</v>
      </c>
      <c r="M427" s="16" t="n">
        <f aca="false">IF(F427=0,0,G427/F427)</f>
        <v>0.967882541867401</v>
      </c>
      <c r="N427" s="16" t="n">
        <f aca="false">K427*L427*M427</f>
        <v>0.732465277777778</v>
      </c>
      <c r="O427" s="19" t="n">
        <f aca="false">MONTH(A427)</f>
        <v>8</v>
      </c>
      <c r="P427" s="19" t="n">
        <f aca="false">INT((A427-DATE(2026,7,1))/7)+1</f>
        <v>7</v>
      </c>
    </row>
    <row r="428" customFormat="false" ht="15" hidden="false" customHeight="false" outlineLevel="0" collapsed="false">
      <c r="A428" s="25" t="n">
        <v>46251</v>
      </c>
      <c r="B428" s="26" t="s">
        <v>17</v>
      </c>
      <c r="C428" s="26" t="s">
        <v>72</v>
      </c>
      <c r="D428" s="26" t="n">
        <v>480</v>
      </c>
      <c r="E428" s="26" t="n">
        <v>10</v>
      </c>
      <c r="F428" s="26" t="n">
        <v>3420</v>
      </c>
      <c r="G428" s="26" t="n">
        <v>3248</v>
      </c>
      <c r="H428" s="19" t="n">
        <f aca="false">SUMIFS(Paradas!$E$2:$E$1973,Paradas!$A$2:$A$1973,A428,Paradas!$B$2:$B$1973,B428,Paradas!$C$2:$C$1973,C428)</f>
        <v>115</v>
      </c>
      <c r="I428" s="19" t="n">
        <f aca="false">D428-H428</f>
        <v>365</v>
      </c>
      <c r="J428" s="19" t="n">
        <f aca="false">I428*E428</f>
        <v>3650</v>
      </c>
      <c r="K428" s="16" t="n">
        <f aca="false">IF(D428=0,0,I428/D428)</f>
        <v>0.760416666666667</v>
      </c>
      <c r="L428" s="16" t="n">
        <f aca="false">IF(J428=0,0,F428/J428)</f>
        <v>0.936986301369863</v>
      </c>
      <c r="M428" s="16" t="n">
        <f aca="false">IF(F428=0,0,G428/F428)</f>
        <v>0.949707602339181</v>
      </c>
      <c r="N428" s="16" t="n">
        <f aca="false">K428*L428*M428</f>
        <v>0.676666666666667</v>
      </c>
      <c r="O428" s="19" t="n">
        <f aca="false">MONTH(A428)</f>
        <v>8</v>
      </c>
      <c r="P428" s="19" t="n">
        <f aca="false">INT((A428-DATE(2026,7,1))/7)+1</f>
        <v>7</v>
      </c>
    </row>
    <row r="429" customFormat="false" ht="15" hidden="false" customHeight="false" outlineLevel="0" collapsed="false">
      <c r="A429" s="25" t="n">
        <v>46251</v>
      </c>
      <c r="B429" s="26" t="s">
        <v>17</v>
      </c>
      <c r="C429" s="26" t="s">
        <v>73</v>
      </c>
      <c r="D429" s="26" t="n">
        <v>480</v>
      </c>
      <c r="E429" s="26" t="n">
        <v>10</v>
      </c>
      <c r="F429" s="26" t="n">
        <v>4021</v>
      </c>
      <c r="G429" s="26" t="n">
        <v>3873</v>
      </c>
      <c r="H429" s="19" t="n">
        <f aca="false">SUMIFS(Paradas!$E$2:$E$1973,Paradas!$A$2:$A$1973,A429,Paradas!$B$2:$B$1973,B429,Paradas!$C$2:$C$1973,C429)</f>
        <v>45</v>
      </c>
      <c r="I429" s="19" t="n">
        <f aca="false">D429-H429</f>
        <v>435</v>
      </c>
      <c r="J429" s="19" t="n">
        <f aca="false">I429*E429</f>
        <v>4350</v>
      </c>
      <c r="K429" s="16" t="n">
        <f aca="false">IF(D429=0,0,I429/D429)</f>
        <v>0.90625</v>
      </c>
      <c r="L429" s="16" t="n">
        <f aca="false">IF(J429=0,0,F429/J429)</f>
        <v>0.924367816091954</v>
      </c>
      <c r="M429" s="16" t="n">
        <f aca="false">IF(F429=0,0,G429/F429)</f>
        <v>0.963193235513554</v>
      </c>
      <c r="N429" s="16" t="n">
        <f aca="false">K429*L429*M429</f>
        <v>0.806875</v>
      </c>
      <c r="O429" s="19" t="n">
        <f aca="false">MONTH(A429)</f>
        <v>8</v>
      </c>
      <c r="P429" s="19" t="n">
        <f aca="false">INT((A429-DATE(2026,7,1))/7)+1</f>
        <v>7</v>
      </c>
    </row>
    <row r="430" customFormat="false" ht="15" hidden="false" customHeight="false" outlineLevel="0" collapsed="false">
      <c r="A430" s="25" t="n">
        <v>46251</v>
      </c>
      <c r="B430" s="26" t="s">
        <v>17</v>
      </c>
      <c r="C430" s="26" t="s">
        <v>74</v>
      </c>
      <c r="D430" s="26" t="n">
        <v>480</v>
      </c>
      <c r="E430" s="26" t="n">
        <v>10</v>
      </c>
      <c r="F430" s="26" t="n">
        <v>3217</v>
      </c>
      <c r="G430" s="26" t="n">
        <v>3079</v>
      </c>
      <c r="H430" s="19" t="n">
        <f aca="false">SUMIFS(Paradas!$E$2:$E$1973,Paradas!$A$2:$A$1973,A430,Paradas!$B$2:$B$1973,B430,Paradas!$C$2:$C$1973,C430)</f>
        <v>109</v>
      </c>
      <c r="I430" s="19" t="n">
        <f aca="false">D430-H430</f>
        <v>371</v>
      </c>
      <c r="J430" s="19" t="n">
        <f aca="false">I430*E430</f>
        <v>3710</v>
      </c>
      <c r="K430" s="16" t="n">
        <f aca="false">IF(D430=0,0,I430/D430)</f>
        <v>0.772916666666667</v>
      </c>
      <c r="L430" s="16" t="n">
        <f aca="false">IF(J430=0,0,F430/J430)</f>
        <v>0.86711590296496</v>
      </c>
      <c r="M430" s="16" t="n">
        <f aca="false">IF(F430=0,0,G430/F430)</f>
        <v>0.957102890892136</v>
      </c>
      <c r="N430" s="16" t="n">
        <f aca="false">K430*L430*M430</f>
        <v>0.641458333333333</v>
      </c>
      <c r="O430" s="19" t="n">
        <f aca="false">MONTH(A430)</f>
        <v>8</v>
      </c>
      <c r="P430" s="19" t="n">
        <f aca="false">INT((A430-DATE(2026,7,1))/7)+1</f>
        <v>7</v>
      </c>
    </row>
    <row r="431" customFormat="false" ht="15" hidden="false" customHeight="false" outlineLevel="0" collapsed="false">
      <c r="A431" s="25" t="n">
        <v>46251</v>
      </c>
      <c r="B431" s="26" t="s">
        <v>18</v>
      </c>
      <c r="C431" s="26" t="s">
        <v>72</v>
      </c>
      <c r="D431" s="26" t="n">
        <v>480</v>
      </c>
      <c r="E431" s="26" t="n">
        <v>8</v>
      </c>
      <c r="F431" s="26" t="n">
        <v>2703</v>
      </c>
      <c r="G431" s="26" t="n">
        <v>2631</v>
      </c>
      <c r="H431" s="19" t="n">
        <f aca="false">SUMIFS(Paradas!$E$2:$E$1973,Paradas!$A$2:$A$1973,A431,Paradas!$B$2:$B$1973,B431,Paradas!$C$2:$C$1973,C431)</f>
        <v>94</v>
      </c>
      <c r="I431" s="19" t="n">
        <f aca="false">D431-H431</f>
        <v>386</v>
      </c>
      <c r="J431" s="19" t="n">
        <f aca="false">I431*E431</f>
        <v>3088</v>
      </c>
      <c r="K431" s="16" t="n">
        <f aca="false">IF(D431=0,0,I431/D431)</f>
        <v>0.804166666666667</v>
      </c>
      <c r="L431" s="16" t="n">
        <f aca="false">IF(J431=0,0,F431/J431)</f>
        <v>0.875323834196891</v>
      </c>
      <c r="M431" s="16" t="n">
        <f aca="false">IF(F431=0,0,G431/F431)</f>
        <v>0.973362930077692</v>
      </c>
      <c r="N431" s="16" t="n">
        <f aca="false">K431*L431*M431</f>
        <v>0.68515625</v>
      </c>
      <c r="O431" s="19" t="n">
        <f aca="false">MONTH(A431)</f>
        <v>8</v>
      </c>
      <c r="P431" s="19" t="n">
        <f aca="false">INT((A431-DATE(2026,7,1))/7)+1</f>
        <v>7</v>
      </c>
    </row>
    <row r="432" customFormat="false" ht="15" hidden="false" customHeight="false" outlineLevel="0" collapsed="false">
      <c r="A432" s="25" t="n">
        <v>46251</v>
      </c>
      <c r="B432" s="26" t="s">
        <v>18</v>
      </c>
      <c r="C432" s="26" t="s">
        <v>73</v>
      </c>
      <c r="D432" s="26" t="n">
        <v>480</v>
      </c>
      <c r="E432" s="26" t="n">
        <v>8</v>
      </c>
      <c r="F432" s="26" t="n">
        <v>2990</v>
      </c>
      <c r="G432" s="26" t="n">
        <v>2862</v>
      </c>
      <c r="H432" s="19" t="n">
        <f aca="false">SUMIFS(Paradas!$E$2:$E$1973,Paradas!$A$2:$A$1973,A432,Paradas!$B$2:$B$1973,B432,Paradas!$C$2:$C$1973,C432)</f>
        <v>44</v>
      </c>
      <c r="I432" s="19" t="n">
        <f aca="false">D432-H432</f>
        <v>436</v>
      </c>
      <c r="J432" s="19" t="n">
        <f aca="false">I432*E432</f>
        <v>3488</v>
      </c>
      <c r="K432" s="16" t="n">
        <f aca="false">IF(D432=0,0,I432/D432)</f>
        <v>0.908333333333333</v>
      </c>
      <c r="L432" s="16" t="n">
        <f aca="false">IF(J432=0,0,F432/J432)</f>
        <v>0.857224770642202</v>
      </c>
      <c r="M432" s="16" t="n">
        <f aca="false">IF(F432=0,0,G432/F432)</f>
        <v>0.957190635451505</v>
      </c>
      <c r="N432" s="16" t="n">
        <f aca="false">K432*L432*M432</f>
        <v>0.7453125</v>
      </c>
      <c r="O432" s="19" t="n">
        <f aca="false">MONTH(A432)</f>
        <v>8</v>
      </c>
      <c r="P432" s="19" t="n">
        <f aca="false">INT((A432-DATE(2026,7,1))/7)+1</f>
        <v>7</v>
      </c>
    </row>
    <row r="433" customFormat="false" ht="15" hidden="false" customHeight="false" outlineLevel="0" collapsed="false">
      <c r="A433" s="25" t="n">
        <v>46251</v>
      </c>
      <c r="B433" s="26" t="s">
        <v>18</v>
      </c>
      <c r="C433" s="26" t="s">
        <v>74</v>
      </c>
      <c r="D433" s="26" t="n">
        <v>480</v>
      </c>
      <c r="E433" s="26" t="n">
        <v>8</v>
      </c>
      <c r="F433" s="26" t="n">
        <v>3184</v>
      </c>
      <c r="G433" s="26" t="n">
        <v>3143</v>
      </c>
      <c r="H433" s="19" t="n">
        <f aca="false">SUMIFS(Paradas!$E$2:$E$1973,Paradas!$A$2:$A$1973,A433,Paradas!$B$2:$B$1973,B433,Paradas!$C$2:$C$1973,C433)</f>
        <v>11</v>
      </c>
      <c r="I433" s="19" t="n">
        <f aca="false">D433-H433</f>
        <v>469</v>
      </c>
      <c r="J433" s="19" t="n">
        <f aca="false">I433*E433</f>
        <v>3752</v>
      </c>
      <c r="K433" s="16" t="n">
        <f aca="false">IF(D433=0,0,I433/D433)</f>
        <v>0.977083333333333</v>
      </c>
      <c r="L433" s="16" t="n">
        <f aca="false">IF(J433=0,0,F433/J433)</f>
        <v>0.84861407249467</v>
      </c>
      <c r="M433" s="16" t="n">
        <f aca="false">IF(F433=0,0,G433/F433)</f>
        <v>0.98712311557789</v>
      </c>
      <c r="N433" s="16" t="n">
        <f aca="false">K433*L433*M433</f>
        <v>0.818489583333333</v>
      </c>
      <c r="O433" s="19" t="n">
        <f aca="false">MONTH(A433)</f>
        <v>8</v>
      </c>
      <c r="P433" s="19" t="n">
        <f aca="false">INT((A433-DATE(2026,7,1))/7)+1</f>
        <v>7</v>
      </c>
    </row>
    <row r="434" customFormat="false" ht="15" hidden="false" customHeight="false" outlineLevel="0" collapsed="false">
      <c r="A434" s="25" t="n">
        <v>46252</v>
      </c>
      <c r="B434" s="26" t="s">
        <v>16</v>
      </c>
      <c r="C434" s="26" t="s">
        <v>72</v>
      </c>
      <c r="D434" s="26" t="n">
        <v>480</v>
      </c>
      <c r="E434" s="26" t="n">
        <v>12</v>
      </c>
      <c r="F434" s="26" t="n">
        <v>2752</v>
      </c>
      <c r="G434" s="26" t="n">
        <v>2723</v>
      </c>
      <c r="H434" s="19" t="n">
        <f aca="false">SUMIFS(Paradas!$E$2:$E$1973,Paradas!$A$2:$A$1973,A434,Paradas!$B$2:$B$1973,B434,Paradas!$C$2:$C$1973,C434)</f>
        <v>219</v>
      </c>
      <c r="I434" s="19" t="n">
        <f aca="false">D434-H434</f>
        <v>261</v>
      </c>
      <c r="J434" s="19" t="n">
        <f aca="false">I434*E434</f>
        <v>3132</v>
      </c>
      <c r="K434" s="16" t="n">
        <f aca="false">IF(D434=0,0,I434/D434)</f>
        <v>0.54375</v>
      </c>
      <c r="L434" s="16" t="n">
        <f aca="false">IF(J434=0,0,F434/J434)</f>
        <v>0.878671775223499</v>
      </c>
      <c r="M434" s="16" t="n">
        <f aca="false">IF(F434=0,0,G434/F434)</f>
        <v>0.989462209302326</v>
      </c>
      <c r="N434" s="16" t="n">
        <f aca="false">K434*L434*M434</f>
        <v>0.472743055555556</v>
      </c>
      <c r="O434" s="19" t="n">
        <f aca="false">MONTH(A434)</f>
        <v>8</v>
      </c>
      <c r="P434" s="19" t="n">
        <f aca="false">INT((A434-DATE(2026,7,1))/7)+1</f>
        <v>7</v>
      </c>
    </row>
    <row r="435" customFormat="false" ht="15" hidden="false" customHeight="false" outlineLevel="0" collapsed="false">
      <c r="A435" s="25" t="n">
        <v>46252</v>
      </c>
      <c r="B435" s="26" t="s">
        <v>16</v>
      </c>
      <c r="C435" s="26" t="s">
        <v>73</v>
      </c>
      <c r="D435" s="26" t="n">
        <v>480</v>
      </c>
      <c r="E435" s="26" t="n">
        <v>12</v>
      </c>
      <c r="F435" s="26" t="n">
        <v>2900</v>
      </c>
      <c r="G435" s="26" t="n">
        <v>2820</v>
      </c>
      <c r="H435" s="19" t="n">
        <f aca="false">SUMIFS(Paradas!$E$2:$E$1973,Paradas!$A$2:$A$1973,A435,Paradas!$B$2:$B$1973,B435,Paradas!$C$2:$C$1973,C435)</f>
        <v>202</v>
      </c>
      <c r="I435" s="19" t="n">
        <f aca="false">D435-H435</f>
        <v>278</v>
      </c>
      <c r="J435" s="19" t="n">
        <f aca="false">I435*E435</f>
        <v>3336</v>
      </c>
      <c r="K435" s="16" t="n">
        <f aca="false">IF(D435=0,0,I435/D435)</f>
        <v>0.579166666666667</v>
      </c>
      <c r="L435" s="16" t="n">
        <f aca="false">IF(J435=0,0,F435/J435)</f>
        <v>0.869304556354916</v>
      </c>
      <c r="M435" s="16" t="n">
        <f aca="false">IF(F435=0,0,G435/F435)</f>
        <v>0.972413793103448</v>
      </c>
      <c r="N435" s="16" t="n">
        <f aca="false">K435*L435*M435</f>
        <v>0.489583333333333</v>
      </c>
      <c r="O435" s="19" t="n">
        <f aca="false">MONTH(A435)</f>
        <v>8</v>
      </c>
      <c r="P435" s="19" t="n">
        <f aca="false">INT((A435-DATE(2026,7,1))/7)+1</f>
        <v>7</v>
      </c>
    </row>
    <row r="436" customFormat="false" ht="15" hidden="false" customHeight="false" outlineLevel="0" collapsed="false">
      <c r="A436" s="25" t="n">
        <v>46252</v>
      </c>
      <c r="B436" s="26" t="s">
        <v>16</v>
      </c>
      <c r="C436" s="26" t="s">
        <v>74</v>
      </c>
      <c r="D436" s="26" t="n">
        <v>480</v>
      </c>
      <c r="E436" s="26" t="n">
        <v>12</v>
      </c>
      <c r="F436" s="26" t="n">
        <v>2892</v>
      </c>
      <c r="G436" s="26" t="n">
        <v>2826</v>
      </c>
      <c r="H436" s="19" t="n">
        <f aca="false">SUMIFS(Paradas!$E$2:$E$1973,Paradas!$A$2:$A$1973,A436,Paradas!$B$2:$B$1973,B436,Paradas!$C$2:$C$1973,C436)</f>
        <v>177</v>
      </c>
      <c r="I436" s="19" t="n">
        <f aca="false">D436-H436</f>
        <v>303</v>
      </c>
      <c r="J436" s="19" t="n">
        <f aca="false">I436*E436</f>
        <v>3636</v>
      </c>
      <c r="K436" s="16" t="n">
        <f aca="false">IF(D436=0,0,I436/D436)</f>
        <v>0.63125</v>
      </c>
      <c r="L436" s="16" t="n">
        <f aca="false">IF(J436=0,0,F436/J436)</f>
        <v>0.795379537953795</v>
      </c>
      <c r="M436" s="16" t="n">
        <f aca="false">IF(F436=0,0,G436/F436)</f>
        <v>0.977178423236515</v>
      </c>
      <c r="N436" s="16" t="n">
        <f aca="false">K436*L436*M436</f>
        <v>0.490625</v>
      </c>
      <c r="O436" s="19" t="n">
        <f aca="false">MONTH(A436)</f>
        <v>8</v>
      </c>
      <c r="P436" s="19" t="n">
        <f aca="false">INT((A436-DATE(2026,7,1))/7)+1</f>
        <v>7</v>
      </c>
    </row>
    <row r="437" customFormat="false" ht="15" hidden="false" customHeight="false" outlineLevel="0" collapsed="false">
      <c r="A437" s="25" t="n">
        <v>46252</v>
      </c>
      <c r="B437" s="26" t="s">
        <v>17</v>
      </c>
      <c r="C437" s="26" t="s">
        <v>72</v>
      </c>
      <c r="D437" s="26" t="n">
        <v>480</v>
      </c>
      <c r="E437" s="26" t="n">
        <v>10</v>
      </c>
      <c r="F437" s="26" t="n">
        <v>2894</v>
      </c>
      <c r="G437" s="26" t="n">
        <v>2787</v>
      </c>
      <c r="H437" s="19" t="n">
        <f aca="false">SUMIFS(Paradas!$E$2:$E$1973,Paradas!$A$2:$A$1973,A437,Paradas!$B$2:$B$1973,B437,Paradas!$C$2:$C$1973,C437)</f>
        <v>158</v>
      </c>
      <c r="I437" s="19" t="n">
        <f aca="false">D437-H437</f>
        <v>322</v>
      </c>
      <c r="J437" s="19" t="n">
        <f aca="false">I437*E437</f>
        <v>3220</v>
      </c>
      <c r="K437" s="16" t="n">
        <f aca="false">IF(D437=0,0,I437/D437)</f>
        <v>0.670833333333333</v>
      </c>
      <c r="L437" s="16" t="n">
        <f aca="false">IF(J437=0,0,F437/J437)</f>
        <v>0.898757763975155</v>
      </c>
      <c r="M437" s="16" t="n">
        <f aca="false">IF(F437=0,0,G437/F437)</f>
        <v>0.963026952315135</v>
      </c>
      <c r="N437" s="16" t="n">
        <f aca="false">K437*L437*M437</f>
        <v>0.580625</v>
      </c>
      <c r="O437" s="19" t="n">
        <f aca="false">MONTH(A437)</f>
        <v>8</v>
      </c>
      <c r="P437" s="19" t="n">
        <f aca="false">INT((A437-DATE(2026,7,1))/7)+1</f>
        <v>7</v>
      </c>
    </row>
    <row r="438" customFormat="false" ht="15" hidden="false" customHeight="false" outlineLevel="0" collapsed="false">
      <c r="A438" s="25" t="n">
        <v>46252</v>
      </c>
      <c r="B438" s="26" t="s">
        <v>17</v>
      </c>
      <c r="C438" s="26" t="s">
        <v>73</v>
      </c>
      <c r="D438" s="26" t="n">
        <v>480</v>
      </c>
      <c r="E438" s="26" t="n">
        <v>10</v>
      </c>
      <c r="F438" s="26" t="n">
        <v>2677</v>
      </c>
      <c r="G438" s="26" t="n">
        <v>2517</v>
      </c>
      <c r="H438" s="19" t="n">
        <f aca="false">SUMIFS(Paradas!$E$2:$E$1973,Paradas!$A$2:$A$1973,A438,Paradas!$B$2:$B$1973,B438,Paradas!$C$2:$C$1973,C438)</f>
        <v>183</v>
      </c>
      <c r="I438" s="19" t="n">
        <f aca="false">D438-H438</f>
        <v>297</v>
      </c>
      <c r="J438" s="19" t="n">
        <f aca="false">I438*E438</f>
        <v>2970</v>
      </c>
      <c r="K438" s="16" t="n">
        <f aca="false">IF(D438=0,0,I438/D438)</f>
        <v>0.61875</v>
      </c>
      <c r="L438" s="16" t="n">
        <f aca="false">IF(J438=0,0,F438/J438)</f>
        <v>0.901346801346801</v>
      </c>
      <c r="M438" s="16" t="n">
        <f aca="false">IF(F438=0,0,G438/F438)</f>
        <v>0.940231602540157</v>
      </c>
      <c r="N438" s="16" t="n">
        <f aca="false">K438*L438*M438</f>
        <v>0.524375</v>
      </c>
      <c r="O438" s="19" t="n">
        <f aca="false">MONTH(A438)</f>
        <v>8</v>
      </c>
      <c r="P438" s="19" t="n">
        <f aca="false">INT((A438-DATE(2026,7,1))/7)+1</f>
        <v>7</v>
      </c>
    </row>
    <row r="439" customFormat="false" ht="15" hidden="false" customHeight="false" outlineLevel="0" collapsed="false">
      <c r="A439" s="25" t="n">
        <v>46252</v>
      </c>
      <c r="B439" s="26" t="s">
        <v>17</v>
      </c>
      <c r="C439" s="26" t="s">
        <v>74</v>
      </c>
      <c r="D439" s="26" t="n">
        <v>480</v>
      </c>
      <c r="E439" s="26" t="n">
        <v>10</v>
      </c>
      <c r="F439" s="26" t="n">
        <v>2367</v>
      </c>
      <c r="G439" s="26" t="n">
        <v>2216</v>
      </c>
      <c r="H439" s="19" t="n">
        <f aca="false">SUMIFS(Paradas!$E$2:$E$1973,Paradas!$A$2:$A$1973,A439,Paradas!$B$2:$B$1973,B439,Paradas!$C$2:$C$1973,C439)</f>
        <v>203</v>
      </c>
      <c r="I439" s="19" t="n">
        <f aca="false">D439-H439</f>
        <v>277</v>
      </c>
      <c r="J439" s="19" t="n">
        <f aca="false">I439*E439</f>
        <v>2770</v>
      </c>
      <c r="K439" s="16" t="n">
        <f aca="false">IF(D439=0,0,I439/D439)</f>
        <v>0.577083333333333</v>
      </c>
      <c r="L439" s="16" t="n">
        <f aca="false">IF(J439=0,0,F439/J439)</f>
        <v>0.854512635379061</v>
      </c>
      <c r="M439" s="16" t="n">
        <f aca="false">IF(F439=0,0,G439/F439)</f>
        <v>0.936206168145332</v>
      </c>
      <c r="N439" s="16" t="n">
        <f aca="false">K439*L439*M439</f>
        <v>0.461666666666667</v>
      </c>
      <c r="O439" s="19" t="n">
        <f aca="false">MONTH(A439)</f>
        <v>8</v>
      </c>
      <c r="P439" s="19" t="n">
        <f aca="false">INT((A439-DATE(2026,7,1))/7)+1</f>
        <v>7</v>
      </c>
    </row>
    <row r="440" customFormat="false" ht="15" hidden="false" customHeight="false" outlineLevel="0" collapsed="false">
      <c r="A440" s="25" t="n">
        <v>46252</v>
      </c>
      <c r="B440" s="26" t="s">
        <v>18</v>
      </c>
      <c r="C440" s="26" t="s">
        <v>72</v>
      </c>
      <c r="D440" s="26" t="n">
        <v>480</v>
      </c>
      <c r="E440" s="26" t="n">
        <v>8</v>
      </c>
      <c r="F440" s="26" t="n">
        <v>2992</v>
      </c>
      <c r="G440" s="26" t="n">
        <v>2918</v>
      </c>
      <c r="H440" s="19" t="n">
        <f aca="false">SUMIFS(Paradas!$E$2:$E$1973,Paradas!$A$2:$A$1973,A440,Paradas!$B$2:$B$1973,B440,Paradas!$C$2:$C$1973,C440)</f>
        <v>65</v>
      </c>
      <c r="I440" s="19" t="n">
        <f aca="false">D440-H440</f>
        <v>415</v>
      </c>
      <c r="J440" s="19" t="n">
        <f aca="false">I440*E440</f>
        <v>3320</v>
      </c>
      <c r="K440" s="16" t="n">
        <f aca="false">IF(D440=0,0,I440/D440)</f>
        <v>0.864583333333333</v>
      </c>
      <c r="L440" s="16" t="n">
        <f aca="false">IF(J440=0,0,F440/J440)</f>
        <v>0.901204819277108</v>
      </c>
      <c r="M440" s="16" t="n">
        <f aca="false">IF(F440=0,0,G440/F440)</f>
        <v>0.975267379679144</v>
      </c>
      <c r="N440" s="16" t="n">
        <f aca="false">K440*L440*M440</f>
        <v>0.759895833333333</v>
      </c>
      <c r="O440" s="19" t="n">
        <f aca="false">MONTH(A440)</f>
        <v>8</v>
      </c>
      <c r="P440" s="19" t="n">
        <f aca="false">INT((A440-DATE(2026,7,1))/7)+1</f>
        <v>7</v>
      </c>
    </row>
    <row r="441" customFormat="false" ht="15" hidden="false" customHeight="false" outlineLevel="0" collapsed="false">
      <c r="A441" s="25" t="n">
        <v>46252</v>
      </c>
      <c r="B441" s="26" t="s">
        <v>18</v>
      </c>
      <c r="C441" s="26" t="s">
        <v>73</v>
      </c>
      <c r="D441" s="26" t="n">
        <v>480</v>
      </c>
      <c r="E441" s="26" t="n">
        <v>8</v>
      </c>
      <c r="F441" s="26" t="n">
        <v>2977</v>
      </c>
      <c r="G441" s="26" t="n">
        <v>2908</v>
      </c>
      <c r="H441" s="19" t="n">
        <f aca="false">SUMIFS(Paradas!$E$2:$E$1973,Paradas!$A$2:$A$1973,A441,Paradas!$B$2:$B$1973,B441,Paradas!$C$2:$C$1973,C441)</f>
        <v>61</v>
      </c>
      <c r="I441" s="19" t="n">
        <f aca="false">D441-H441</f>
        <v>419</v>
      </c>
      <c r="J441" s="19" t="n">
        <f aca="false">I441*E441</f>
        <v>3352</v>
      </c>
      <c r="K441" s="16" t="n">
        <f aca="false">IF(D441=0,0,I441/D441)</f>
        <v>0.872916666666667</v>
      </c>
      <c r="L441" s="16" t="n">
        <f aca="false">IF(J441=0,0,F441/J441)</f>
        <v>0.888126491646778</v>
      </c>
      <c r="M441" s="16" t="n">
        <f aca="false">IF(F441=0,0,G441/F441)</f>
        <v>0.976822304333221</v>
      </c>
      <c r="N441" s="16" t="n">
        <f aca="false">K441*L441*M441</f>
        <v>0.757291666666667</v>
      </c>
      <c r="O441" s="19" t="n">
        <f aca="false">MONTH(A441)</f>
        <v>8</v>
      </c>
      <c r="P441" s="19" t="n">
        <f aca="false">INT((A441-DATE(2026,7,1))/7)+1</f>
        <v>7</v>
      </c>
    </row>
    <row r="442" customFormat="false" ht="15" hidden="false" customHeight="false" outlineLevel="0" collapsed="false">
      <c r="A442" s="25" t="n">
        <v>46252</v>
      </c>
      <c r="B442" s="26" t="s">
        <v>18</v>
      </c>
      <c r="C442" s="26" t="s">
        <v>74</v>
      </c>
      <c r="D442" s="26" t="n">
        <v>480</v>
      </c>
      <c r="E442" s="26" t="n">
        <v>8</v>
      </c>
      <c r="F442" s="26" t="n">
        <v>3153</v>
      </c>
      <c r="G442" s="26" t="n">
        <v>3092</v>
      </c>
      <c r="H442" s="19" t="n">
        <f aca="false">SUMIFS(Paradas!$E$2:$E$1973,Paradas!$A$2:$A$1973,A442,Paradas!$B$2:$B$1973,B442,Paradas!$C$2:$C$1973,C442)</f>
        <v>0</v>
      </c>
      <c r="I442" s="19" t="n">
        <f aca="false">D442-H442</f>
        <v>480</v>
      </c>
      <c r="J442" s="19" t="n">
        <f aca="false">I442*E442</f>
        <v>3840</v>
      </c>
      <c r="K442" s="16" t="n">
        <f aca="false">IF(D442=0,0,I442/D442)</f>
        <v>1</v>
      </c>
      <c r="L442" s="16" t="n">
        <f aca="false">IF(J442=0,0,F442/J442)</f>
        <v>0.82109375</v>
      </c>
      <c r="M442" s="16" t="n">
        <f aca="false">IF(F442=0,0,G442/F442)</f>
        <v>0.980653346019664</v>
      </c>
      <c r="N442" s="16" t="n">
        <f aca="false">K442*L442*M442</f>
        <v>0.805208333333333</v>
      </c>
      <c r="O442" s="19" t="n">
        <f aca="false">MONTH(A442)</f>
        <v>8</v>
      </c>
      <c r="P442" s="19" t="n">
        <f aca="false">INT((A442-DATE(2026,7,1))/7)+1</f>
        <v>7</v>
      </c>
    </row>
    <row r="443" customFormat="false" ht="15" hidden="false" customHeight="false" outlineLevel="0" collapsed="false">
      <c r="A443" s="25" t="n">
        <v>46253</v>
      </c>
      <c r="B443" s="26" t="s">
        <v>16</v>
      </c>
      <c r="C443" s="26" t="s">
        <v>72</v>
      </c>
      <c r="D443" s="26" t="n">
        <v>480</v>
      </c>
      <c r="E443" s="26" t="n">
        <v>12</v>
      </c>
      <c r="F443" s="26" t="n">
        <v>5087</v>
      </c>
      <c r="G443" s="26" t="n">
        <v>5010</v>
      </c>
      <c r="H443" s="19" t="n">
        <f aca="false">SUMIFS(Paradas!$E$2:$E$1973,Paradas!$A$2:$A$1973,A443,Paradas!$B$2:$B$1973,B443,Paradas!$C$2:$C$1973,C443)</f>
        <v>0</v>
      </c>
      <c r="I443" s="19" t="n">
        <f aca="false">D443-H443</f>
        <v>480</v>
      </c>
      <c r="J443" s="19" t="n">
        <f aca="false">I443*E443</f>
        <v>5760</v>
      </c>
      <c r="K443" s="16" t="n">
        <f aca="false">IF(D443=0,0,I443/D443)</f>
        <v>1</v>
      </c>
      <c r="L443" s="16" t="n">
        <f aca="false">IF(J443=0,0,F443/J443)</f>
        <v>0.883159722222222</v>
      </c>
      <c r="M443" s="16" t="n">
        <f aca="false">IF(F443=0,0,G443/F443)</f>
        <v>0.984863377236092</v>
      </c>
      <c r="N443" s="16" t="n">
        <f aca="false">K443*L443*M443</f>
        <v>0.869791666666667</v>
      </c>
      <c r="O443" s="19" t="n">
        <f aca="false">MONTH(A443)</f>
        <v>8</v>
      </c>
      <c r="P443" s="19" t="n">
        <f aca="false">INT((A443-DATE(2026,7,1))/7)+1</f>
        <v>8</v>
      </c>
    </row>
    <row r="444" customFormat="false" ht="15" hidden="false" customHeight="false" outlineLevel="0" collapsed="false">
      <c r="A444" s="25" t="n">
        <v>46253</v>
      </c>
      <c r="B444" s="26" t="s">
        <v>16</v>
      </c>
      <c r="C444" s="26" t="s">
        <v>73</v>
      </c>
      <c r="D444" s="26" t="n">
        <v>480</v>
      </c>
      <c r="E444" s="26" t="n">
        <v>12</v>
      </c>
      <c r="F444" s="26" t="n">
        <v>4004</v>
      </c>
      <c r="G444" s="26" t="n">
        <v>3965</v>
      </c>
      <c r="H444" s="19" t="n">
        <f aca="false">SUMIFS(Paradas!$E$2:$E$1973,Paradas!$A$2:$A$1973,A444,Paradas!$B$2:$B$1973,B444,Paradas!$C$2:$C$1973,C444)</f>
        <v>83</v>
      </c>
      <c r="I444" s="19" t="n">
        <f aca="false">D444-H444</f>
        <v>397</v>
      </c>
      <c r="J444" s="19" t="n">
        <f aca="false">I444*E444</f>
        <v>4764</v>
      </c>
      <c r="K444" s="16" t="n">
        <f aca="false">IF(D444=0,0,I444/D444)</f>
        <v>0.827083333333333</v>
      </c>
      <c r="L444" s="16" t="n">
        <f aca="false">IF(J444=0,0,F444/J444)</f>
        <v>0.840470193115029</v>
      </c>
      <c r="M444" s="16" t="n">
        <f aca="false">IF(F444=0,0,G444/F444)</f>
        <v>0.99025974025974</v>
      </c>
      <c r="N444" s="16" t="n">
        <f aca="false">K444*L444*M444</f>
        <v>0.688368055555556</v>
      </c>
      <c r="O444" s="19" t="n">
        <f aca="false">MONTH(A444)</f>
        <v>8</v>
      </c>
      <c r="P444" s="19" t="n">
        <f aca="false">INT((A444-DATE(2026,7,1))/7)+1</f>
        <v>8</v>
      </c>
    </row>
    <row r="445" customFormat="false" ht="15" hidden="false" customHeight="false" outlineLevel="0" collapsed="false">
      <c r="A445" s="25" t="n">
        <v>46253</v>
      </c>
      <c r="B445" s="26" t="s">
        <v>16</v>
      </c>
      <c r="C445" s="26" t="s">
        <v>74</v>
      </c>
      <c r="D445" s="26" t="n">
        <v>480</v>
      </c>
      <c r="E445" s="26" t="n">
        <v>12</v>
      </c>
      <c r="F445" s="26" t="n">
        <v>3676</v>
      </c>
      <c r="G445" s="26" t="n">
        <v>3612</v>
      </c>
      <c r="H445" s="19" t="n">
        <f aca="false">SUMIFS(Paradas!$E$2:$E$1973,Paradas!$A$2:$A$1973,A445,Paradas!$B$2:$B$1973,B445,Paradas!$C$2:$C$1973,C445)</f>
        <v>120</v>
      </c>
      <c r="I445" s="19" t="n">
        <f aca="false">D445-H445</f>
        <v>360</v>
      </c>
      <c r="J445" s="19" t="n">
        <f aca="false">I445*E445</f>
        <v>4320</v>
      </c>
      <c r="K445" s="16" t="n">
        <f aca="false">IF(D445=0,0,I445/D445)</f>
        <v>0.75</v>
      </c>
      <c r="L445" s="16" t="n">
        <f aca="false">IF(J445=0,0,F445/J445)</f>
        <v>0.850925925925926</v>
      </c>
      <c r="M445" s="16" t="n">
        <f aca="false">IF(F445=0,0,G445/F445)</f>
        <v>0.982589771490751</v>
      </c>
      <c r="N445" s="16" t="n">
        <f aca="false">K445*L445*M445</f>
        <v>0.627083333333333</v>
      </c>
      <c r="O445" s="19" t="n">
        <f aca="false">MONTH(A445)</f>
        <v>8</v>
      </c>
      <c r="P445" s="19" t="n">
        <f aca="false">INT((A445-DATE(2026,7,1))/7)+1</f>
        <v>8</v>
      </c>
    </row>
    <row r="446" customFormat="false" ht="15" hidden="false" customHeight="false" outlineLevel="0" collapsed="false">
      <c r="A446" s="25" t="n">
        <v>46253</v>
      </c>
      <c r="B446" s="26" t="s">
        <v>17</v>
      </c>
      <c r="C446" s="26" t="s">
        <v>72</v>
      </c>
      <c r="D446" s="26" t="n">
        <v>480</v>
      </c>
      <c r="E446" s="26" t="n">
        <v>10</v>
      </c>
      <c r="F446" s="26" t="n">
        <v>3082</v>
      </c>
      <c r="G446" s="26" t="n">
        <v>2928</v>
      </c>
      <c r="H446" s="19" t="n">
        <f aca="false">SUMIFS(Paradas!$E$2:$E$1973,Paradas!$A$2:$A$1973,A446,Paradas!$B$2:$B$1973,B446,Paradas!$C$2:$C$1973,C446)</f>
        <v>122</v>
      </c>
      <c r="I446" s="19" t="n">
        <f aca="false">D446-H446</f>
        <v>358</v>
      </c>
      <c r="J446" s="19" t="n">
        <f aca="false">I446*E446</f>
        <v>3580</v>
      </c>
      <c r="K446" s="16" t="n">
        <f aca="false">IF(D446=0,0,I446/D446)</f>
        <v>0.745833333333333</v>
      </c>
      <c r="L446" s="16" t="n">
        <f aca="false">IF(J446=0,0,F446/J446)</f>
        <v>0.860893854748603</v>
      </c>
      <c r="M446" s="16" t="n">
        <f aca="false">IF(F446=0,0,G446/F446)</f>
        <v>0.950032446463336</v>
      </c>
      <c r="N446" s="16" t="n">
        <f aca="false">K446*L446*M446</f>
        <v>0.61</v>
      </c>
      <c r="O446" s="19" t="n">
        <f aca="false">MONTH(A446)</f>
        <v>8</v>
      </c>
      <c r="P446" s="19" t="n">
        <f aca="false">INT((A446-DATE(2026,7,1))/7)+1</f>
        <v>8</v>
      </c>
    </row>
    <row r="447" customFormat="false" ht="15" hidden="false" customHeight="false" outlineLevel="0" collapsed="false">
      <c r="A447" s="25" t="n">
        <v>46253</v>
      </c>
      <c r="B447" s="26" t="s">
        <v>17</v>
      </c>
      <c r="C447" s="26" t="s">
        <v>73</v>
      </c>
      <c r="D447" s="26" t="n">
        <v>480</v>
      </c>
      <c r="E447" s="26" t="n">
        <v>10</v>
      </c>
      <c r="F447" s="26" t="n">
        <v>4049</v>
      </c>
      <c r="G447" s="26" t="n">
        <v>3942</v>
      </c>
      <c r="H447" s="19" t="n">
        <f aca="false">SUMIFS(Paradas!$E$2:$E$1973,Paradas!$A$2:$A$1973,A447,Paradas!$B$2:$B$1973,B447,Paradas!$C$2:$C$1973,C447)</f>
        <v>24</v>
      </c>
      <c r="I447" s="19" t="n">
        <f aca="false">D447-H447</f>
        <v>456</v>
      </c>
      <c r="J447" s="19" t="n">
        <f aca="false">I447*E447</f>
        <v>4560</v>
      </c>
      <c r="K447" s="16" t="n">
        <f aca="false">IF(D447=0,0,I447/D447)</f>
        <v>0.95</v>
      </c>
      <c r="L447" s="16" t="n">
        <f aca="false">IF(J447=0,0,F447/J447)</f>
        <v>0.887938596491228</v>
      </c>
      <c r="M447" s="16" t="n">
        <f aca="false">IF(F447=0,0,G447/F447)</f>
        <v>0.973573721906644</v>
      </c>
      <c r="N447" s="16" t="n">
        <f aca="false">K447*L447*M447</f>
        <v>0.82125</v>
      </c>
      <c r="O447" s="19" t="n">
        <f aca="false">MONTH(A447)</f>
        <v>8</v>
      </c>
      <c r="P447" s="19" t="n">
        <f aca="false">INT((A447-DATE(2026,7,1))/7)+1</f>
        <v>8</v>
      </c>
    </row>
    <row r="448" customFormat="false" ht="15" hidden="false" customHeight="false" outlineLevel="0" collapsed="false">
      <c r="A448" s="25" t="n">
        <v>46253</v>
      </c>
      <c r="B448" s="26" t="s">
        <v>17</v>
      </c>
      <c r="C448" s="26" t="s">
        <v>74</v>
      </c>
      <c r="D448" s="26" t="n">
        <v>480</v>
      </c>
      <c r="E448" s="26" t="n">
        <v>10</v>
      </c>
      <c r="F448" s="26" t="n">
        <v>3537</v>
      </c>
      <c r="G448" s="26" t="n">
        <v>3337</v>
      </c>
      <c r="H448" s="19" t="n">
        <f aca="false">SUMIFS(Paradas!$E$2:$E$1973,Paradas!$A$2:$A$1973,A448,Paradas!$B$2:$B$1973,B448,Paradas!$C$2:$C$1973,C448)</f>
        <v>54</v>
      </c>
      <c r="I448" s="19" t="n">
        <f aca="false">D448-H448</f>
        <v>426</v>
      </c>
      <c r="J448" s="19" t="n">
        <f aca="false">I448*E448</f>
        <v>4260</v>
      </c>
      <c r="K448" s="16" t="n">
        <f aca="false">IF(D448=0,0,I448/D448)</f>
        <v>0.8875</v>
      </c>
      <c r="L448" s="16" t="n">
        <f aca="false">IF(J448=0,0,F448/J448)</f>
        <v>0.830281690140845</v>
      </c>
      <c r="M448" s="16" t="n">
        <f aca="false">IF(F448=0,0,G448/F448)</f>
        <v>0.943454905286966</v>
      </c>
      <c r="N448" s="16" t="n">
        <f aca="false">K448*L448*M448</f>
        <v>0.695208333333333</v>
      </c>
      <c r="O448" s="19" t="n">
        <f aca="false">MONTH(A448)</f>
        <v>8</v>
      </c>
      <c r="P448" s="19" t="n">
        <f aca="false">INT((A448-DATE(2026,7,1))/7)+1</f>
        <v>8</v>
      </c>
    </row>
    <row r="449" customFormat="false" ht="15" hidden="false" customHeight="false" outlineLevel="0" collapsed="false">
      <c r="A449" s="25" t="n">
        <v>46253</v>
      </c>
      <c r="B449" s="26" t="s">
        <v>18</v>
      </c>
      <c r="C449" s="26" t="s">
        <v>72</v>
      </c>
      <c r="D449" s="26" t="n">
        <v>480</v>
      </c>
      <c r="E449" s="26" t="n">
        <v>8</v>
      </c>
      <c r="F449" s="26" t="n">
        <v>3394</v>
      </c>
      <c r="G449" s="26" t="n">
        <v>3305</v>
      </c>
      <c r="H449" s="19" t="n">
        <f aca="false">SUMIFS(Paradas!$E$2:$E$1973,Paradas!$A$2:$A$1973,A449,Paradas!$B$2:$B$1973,B449,Paradas!$C$2:$C$1973,C449)</f>
        <v>0</v>
      </c>
      <c r="I449" s="19" t="n">
        <f aca="false">D449-H449</f>
        <v>480</v>
      </c>
      <c r="J449" s="19" t="n">
        <f aca="false">I449*E449</f>
        <v>3840</v>
      </c>
      <c r="K449" s="16" t="n">
        <f aca="false">IF(D449=0,0,I449/D449)</f>
        <v>1</v>
      </c>
      <c r="L449" s="16" t="n">
        <f aca="false">IF(J449=0,0,F449/J449)</f>
        <v>0.883854166666667</v>
      </c>
      <c r="M449" s="16" t="n">
        <f aca="false">IF(F449=0,0,G449/F449)</f>
        <v>0.973777253977608</v>
      </c>
      <c r="N449" s="16" t="n">
        <f aca="false">K449*L449*M449</f>
        <v>0.860677083333333</v>
      </c>
      <c r="O449" s="19" t="n">
        <f aca="false">MONTH(A449)</f>
        <v>8</v>
      </c>
      <c r="P449" s="19" t="n">
        <f aca="false">INT((A449-DATE(2026,7,1))/7)+1</f>
        <v>8</v>
      </c>
    </row>
    <row r="450" customFormat="false" ht="15" hidden="false" customHeight="false" outlineLevel="0" collapsed="false">
      <c r="A450" s="25" t="n">
        <v>46253</v>
      </c>
      <c r="B450" s="26" t="s">
        <v>18</v>
      </c>
      <c r="C450" s="26" t="s">
        <v>73</v>
      </c>
      <c r="D450" s="26" t="n">
        <v>480</v>
      </c>
      <c r="E450" s="26" t="n">
        <v>8</v>
      </c>
      <c r="F450" s="26" t="n">
        <v>2843</v>
      </c>
      <c r="G450" s="26" t="n">
        <v>2748</v>
      </c>
      <c r="H450" s="19" t="n">
        <f aca="false">SUMIFS(Paradas!$E$2:$E$1973,Paradas!$A$2:$A$1973,A450,Paradas!$B$2:$B$1973,B450,Paradas!$C$2:$C$1973,C450)</f>
        <v>85</v>
      </c>
      <c r="I450" s="19" t="n">
        <f aca="false">D450-H450</f>
        <v>395</v>
      </c>
      <c r="J450" s="19" t="n">
        <f aca="false">I450*E450</f>
        <v>3160</v>
      </c>
      <c r="K450" s="16" t="n">
        <f aca="false">IF(D450=0,0,I450/D450)</f>
        <v>0.822916666666667</v>
      </c>
      <c r="L450" s="16" t="n">
        <f aca="false">IF(J450=0,0,F450/J450)</f>
        <v>0.899683544303798</v>
      </c>
      <c r="M450" s="16" t="n">
        <f aca="false">IF(F450=0,0,G450/F450)</f>
        <v>0.966584593739008</v>
      </c>
      <c r="N450" s="16" t="n">
        <f aca="false">K450*L450*M450</f>
        <v>0.715625</v>
      </c>
      <c r="O450" s="19" t="n">
        <f aca="false">MONTH(A450)</f>
        <v>8</v>
      </c>
      <c r="P450" s="19" t="n">
        <f aca="false">INT((A450-DATE(2026,7,1))/7)+1</f>
        <v>8</v>
      </c>
    </row>
    <row r="451" customFormat="false" ht="15" hidden="false" customHeight="false" outlineLevel="0" collapsed="false">
      <c r="A451" s="25" t="n">
        <v>46253</v>
      </c>
      <c r="B451" s="26" t="s">
        <v>18</v>
      </c>
      <c r="C451" s="26" t="s">
        <v>74</v>
      </c>
      <c r="D451" s="26" t="n">
        <v>480</v>
      </c>
      <c r="E451" s="26" t="n">
        <v>8</v>
      </c>
      <c r="F451" s="26" t="n">
        <v>3383</v>
      </c>
      <c r="G451" s="26" t="n">
        <v>3287</v>
      </c>
      <c r="H451" s="19" t="n">
        <f aca="false">SUMIFS(Paradas!$E$2:$E$1973,Paradas!$A$2:$A$1973,A451,Paradas!$B$2:$B$1973,B451,Paradas!$C$2:$C$1973,C451)</f>
        <v>0</v>
      </c>
      <c r="I451" s="19" t="n">
        <f aca="false">D451-H451</f>
        <v>480</v>
      </c>
      <c r="J451" s="19" t="n">
        <f aca="false">I451*E451</f>
        <v>3840</v>
      </c>
      <c r="K451" s="16" t="n">
        <f aca="false">IF(D451=0,0,I451/D451)</f>
        <v>1</v>
      </c>
      <c r="L451" s="16" t="n">
        <f aca="false">IF(J451=0,0,F451/J451)</f>
        <v>0.880989583333333</v>
      </c>
      <c r="M451" s="16" t="n">
        <f aca="false">IF(F451=0,0,G451/F451)</f>
        <v>0.971622819982264</v>
      </c>
      <c r="N451" s="16" t="n">
        <f aca="false">K451*L451*M451</f>
        <v>0.855989583333333</v>
      </c>
      <c r="O451" s="19" t="n">
        <f aca="false">MONTH(A451)</f>
        <v>8</v>
      </c>
      <c r="P451" s="19" t="n">
        <f aca="false">INT((A451-DATE(2026,7,1))/7)+1</f>
        <v>8</v>
      </c>
    </row>
    <row r="452" customFormat="false" ht="15" hidden="false" customHeight="false" outlineLevel="0" collapsed="false">
      <c r="A452" s="25" t="n">
        <v>46254</v>
      </c>
      <c r="B452" s="26" t="s">
        <v>16</v>
      </c>
      <c r="C452" s="26" t="s">
        <v>72</v>
      </c>
      <c r="D452" s="26" t="n">
        <v>480</v>
      </c>
      <c r="E452" s="26" t="n">
        <v>12</v>
      </c>
      <c r="F452" s="26" t="n">
        <v>4654</v>
      </c>
      <c r="G452" s="26" t="n">
        <v>4475</v>
      </c>
      <c r="H452" s="19" t="n">
        <f aca="false">SUMIFS(Paradas!$E$2:$E$1973,Paradas!$A$2:$A$1973,A452,Paradas!$B$2:$B$1973,B452,Paradas!$C$2:$C$1973,C452)</f>
        <v>41</v>
      </c>
      <c r="I452" s="19" t="n">
        <f aca="false">D452-H452</f>
        <v>439</v>
      </c>
      <c r="J452" s="19" t="n">
        <f aca="false">I452*E452</f>
        <v>5268</v>
      </c>
      <c r="K452" s="16" t="n">
        <f aca="false">IF(D452=0,0,I452/D452)</f>
        <v>0.914583333333333</v>
      </c>
      <c r="L452" s="16" t="n">
        <f aca="false">IF(J452=0,0,F452/J452)</f>
        <v>0.883447228549734</v>
      </c>
      <c r="M452" s="16" t="n">
        <f aca="false">IF(F452=0,0,G452/F452)</f>
        <v>0.961538461538462</v>
      </c>
      <c r="N452" s="16" t="n">
        <f aca="false">K452*L452*M452</f>
        <v>0.776909722222222</v>
      </c>
      <c r="O452" s="19" t="n">
        <f aca="false">MONTH(A452)</f>
        <v>8</v>
      </c>
      <c r="P452" s="19" t="n">
        <f aca="false">INT((A452-DATE(2026,7,1))/7)+1</f>
        <v>8</v>
      </c>
    </row>
    <row r="453" customFormat="false" ht="15" hidden="false" customHeight="false" outlineLevel="0" collapsed="false">
      <c r="A453" s="25" t="n">
        <v>46254</v>
      </c>
      <c r="B453" s="26" t="s">
        <v>16</v>
      </c>
      <c r="C453" s="26" t="s">
        <v>73</v>
      </c>
      <c r="D453" s="26" t="n">
        <v>480</v>
      </c>
      <c r="E453" s="26" t="n">
        <v>12</v>
      </c>
      <c r="F453" s="26" t="n">
        <v>4450</v>
      </c>
      <c r="G453" s="26" t="n">
        <v>4290</v>
      </c>
      <c r="H453" s="19" t="n">
        <f aca="false">SUMIFS(Paradas!$E$2:$E$1973,Paradas!$A$2:$A$1973,A453,Paradas!$B$2:$B$1973,B453,Paradas!$C$2:$C$1973,C453)</f>
        <v>50</v>
      </c>
      <c r="I453" s="19" t="n">
        <f aca="false">D453-H453</f>
        <v>430</v>
      </c>
      <c r="J453" s="19" t="n">
        <f aca="false">I453*E453</f>
        <v>5160</v>
      </c>
      <c r="K453" s="16" t="n">
        <f aca="false">IF(D453=0,0,I453/D453)</f>
        <v>0.895833333333333</v>
      </c>
      <c r="L453" s="16" t="n">
        <f aca="false">IF(J453=0,0,F453/J453)</f>
        <v>0.862403100775194</v>
      </c>
      <c r="M453" s="16" t="n">
        <f aca="false">IF(F453=0,0,G453/F453)</f>
        <v>0.964044943820225</v>
      </c>
      <c r="N453" s="16" t="n">
        <f aca="false">K453*L453*M453</f>
        <v>0.744791666666667</v>
      </c>
      <c r="O453" s="19" t="n">
        <f aca="false">MONTH(A453)</f>
        <v>8</v>
      </c>
      <c r="P453" s="19" t="n">
        <f aca="false">INT((A453-DATE(2026,7,1))/7)+1</f>
        <v>8</v>
      </c>
    </row>
    <row r="454" customFormat="false" ht="15" hidden="false" customHeight="false" outlineLevel="0" collapsed="false">
      <c r="A454" s="25" t="n">
        <v>46254</v>
      </c>
      <c r="B454" s="26" t="s">
        <v>16</v>
      </c>
      <c r="C454" s="26" t="s">
        <v>74</v>
      </c>
      <c r="D454" s="26" t="n">
        <v>480</v>
      </c>
      <c r="E454" s="26" t="n">
        <v>12</v>
      </c>
      <c r="F454" s="26" t="n">
        <v>4410</v>
      </c>
      <c r="G454" s="26" t="n">
        <v>4314</v>
      </c>
      <c r="H454" s="19" t="n">
        <f aca="false">SUMIFS(Paradas!$E$2:$E$1973,Paradas!$A$2:$A$1973,A454,Paradas!$B$2:$B$1973,B454,Paradas!$C$2:$C$1973,C454)</f>
        <v>28</v>
      </c>
      <c r="I454" s="19" t="n">
        <f aca="false">D454-H454</f>
        <v>452</v>
      </c>
      <c r="J454" s="19" t="n">
        <f aca="false">I454*E454</f>
        <v>5424</v>
      </c>
      <c r="K454" s="16" t="n">
        <f aca="false">IF(D454=0,0,I454/D454)</f>
        <v>0.941666666666667</v>
      </c>
      <c r="L454" s="16" t="n">
        <f aca="false">IF(J454=0,0,F454/J454)</f>
        <v>0.813053097345133</v>
      </c>
      <c r="M454" s="16" t="n">
        <f aca="false">IF(F454=0,0,G454/F454)</f>
        <v>0.978231292517007</v>
      </c>
      <c r="N454" s="16" t="n">
        <f aca="false">K454*L454*M454</f>
        <v>0.748958333333333</v>
      </c>
      <c r="O454" s="19" t="n">
        <f aca="false">MONTH(A454)</f>
        <v>8</v>
      </c>
      <c r="P454" s="19" t="n">
        <f aca="false">INT((A454-DATE(2026,7,1))/7)+1</f>
        <v>8</v>
      </c>
    </row>
    <row r="455" customFormat="false" ht="15" hidden="false" customHeight="false" outlineLevel="0" collapsed="false">
      <c r="A455" s="25" t="n">
        <v>46254</v>
      </c>
      <c r="B455" s="26" t="s">
        <v>17</v>
      </c>
      <c r="C455" s="26" t="s">
        <v>72</v>
      </c>
      <c r="D455" s="26" t="n">
        <v>480</v>
      </c>
      <c r="E455" s="26" t="n">
        <v>10</v>
      </c>
      <c r="F455" s="26" t="n">
        <v>3601</v>
      </c>
      <c r="G455" s="26" t="n">
        <v>3414</v>
      </c>
      <c r="H455" s="19" t="n">
        <f aca="false">SUMIFS(Paradas!$E$2:$E$1973,Paradas!$A$2:$A$1973,A455,Paradas!$B$2:$B$1973,B455,Paradas!$C$2:$C$1973,C455)</f>
        <v>92</v>
      </c>
      <c r="I455" s="19" t="n">
        <f aca="false">D455-H455</f>
        <v>388</v>
      </c>
      <c r="J455" s="19" t="n">
        <f aca="false">I455*E455</f>
        <v>3880</v>
      </c>
      <c r="K455" s="16" t="n">
        <f aca="false">IF(D455=0,0,I455/D455)</f>
        <v>0.808333333333333</v>
      </c>
      <c r="L455" s="16" t="n">
        <f aca="false">IF(J455=0,0,F455/J455)</f>
        <v>0.928092783505155</v>
      </c>
      <c r="M455" s="16" t="n">
        <f aca="false">IF(F455=0,0,G455/F455)</f>
        <v>0.948069980560955</v>
      </c>
      <c r="N455" s="16" t="n">
        <f aca="false">K455*L455*M455</f>
        <v>0.71125</v>
      </c>
      <c r="O455" s="19" t="n">
        <f aca="false">MONTH(A455)</f>
        <v>8</v>
      </c>
      <c r="P455" s="19" t="n">
        <f aca="false">INT((A455-DATE(2026,7,1))/7)+1</f>
        <v>8</v>
      </c>
    </row>
    <row r="456" customFormat="false" ht="15" hidden="false" customHeight="false" outlineLevel="0" collapsed="false">
      <c r="A456" s="25" t="n">
        <v>46254</v>
      </c>
      <c r="B456" s="26" t="s">
        <v>17</v>
      </c>
      <c r="C456" s="26" t="s">
        <v>73</v>
      </c>
      <c r="D456" s="26" t="n">
        <v>480</v>
      </c>
      <c r="E456" s="26" t="n">
        <v>10</v>
      </c>
      <c r="F456" s="26" t="n">
        <v>3141</v>
      </c>
      <c r="G456" s="26" t="n">
        <v>3020</v>
      </c>
      <c r="H456" s="19" t="n">
        <f aca="false">SUMIFS(Paradas!$E$2:$E$1973,Paradas!$A$2:$A$1973,A456,Paradas!$B$2:$B$1973,B456,Paradas!$C$2:$C$1973,C456)</f>
        <v>134</v>
      </c>
      <c r="I456" s="19" t="n">
        <f aca="false">D456-H456</f>
        <v>346</v>
      </c>
      <c r="J456" s="19" t="n">
        <f aca="false">I456*E456</f>
        <v>3460</v>
      </c>
      <c r="K456" s="16" t="n">
        <f aca="false">IF(D456=0,0,I456/D456)</f>
        <v>0.720833333333333</v>
      </c>
      <c r="L456" s="16" t="n">
        <f aca="false">IF(J456=0,0,F456/J456)</f>
        <v>0.907803468208092</v>
      </c>
      <c r="M456" s="16" t="n">
        <f aca="false">IF(F456=0,0,G456/F456)</f>
        <v>0.96147723654887</v>
      </c>
      <c r="N456" s="16" t="n">
        <f aca="false">K456*L456*M456</f>
        <v>0.629166666666667</v>
      </c>
      <c r="O456" s="19" t="n">
        <f aca="false">MONTH(A456)</f>
        <v>8</v>
      </c>
      <c r="P456" s="19" t="n">
        <f aca="false">INT((A456-DATE(2026,7,1))/7)+1</f>
        <v>8</v>
      </c>
    </row>
    <row r="457" customFormat="false" ht="15" hidden="false" customHeight="false" outlineLevel="0" collapsed="false">
      <c r="A457" s="25" t="n">
        <v>46254</v>
      </c>
      <c r="B457" s="26" t="s">
        <v>17</v>
      </c>
      <c r="C457" s="26" t="s">
        <v>74</v>
      </c>
      <c r="D457" s="26" t="n">
        <v>480</v>
      </c>
      <c r="E457" s="26" t="n">
        <v>10</v>
      </c>
      <c r="F457" s="26" t="n">
        <v>3902</v>
      </c>
      <c r="G457" s="26" t="n">
        <v>3766</v>
      </c>
      <c r="H457" s="19" t="n">
        <f aca="false">SUMIFS(Paradas!$E$2:$E$1973,Paradas!$A$2:$A$1973,A457,Paradas!$B$2:$B$1973,B457,Paradas!$C$2:$C$1973,C457)</f>
        <v>0</v>
      </c>
      <c r="I457" s="19" t="n">
        <f aca="false">D457-H457</f>
        <v>480</v>
      </c>
      <c r="J457" s="19" t="n">
        <f aca="false">I457*E457</f>
        <v>4800</v>
      </c>
      <c r="K457" s="16" t="n">
        <f aca="false">IF(D457=0,0,I457/D457)</f>
        <v>1</v>
      </c>
      <c r="L457" s="16" t="n">
        <f aca="false">IF(J457=0,0,F457/J457)</f>
        <v>0.812916666666667</v>
      </c>
      <c r="M457" s="16" t="n">
        <f aca="false">IF(F457=0,0,G457/F457)</f>
        <v>0.96514607893388</v>
      </c>
      <c r="N457" s="16" t="n">
        <f aca="false">K457*L457*M457</f>
        <v>0.784583333333333</v>
      </c>
      <c r="O457" s="19" t="n">
        <f aca="false">MONTH(A457)</f>
        <v>8</v>
      </c>
      <c r="P457" s="19" t="n">
        <f aca="false">INT((A457-DATE(2026,7,1))/7)+1</f>
        <v>8</v>
      </c>
    </row>
    <row r="458" customFormat="false" ht="15" hidden="false" customHeight="false" outlineLevel="0" collapsed="false">
      <c r="A458" s="25" t="n">
        <v>46254</v>
      </c>
      <c r="B458" s="26" t="s">
        <v>18</v>
      </c>
      <c r="C458" s="26" t="s">
        <v>72</v>
      </c>
      <c r="D458" s="26" t="n">
        <v>480</v>
      </c>
      <c r="E458" s="26" t="n">
        <v>8</v>
      </c>
      <c r="F458" s="26" t="n">
        <v>2696</v>
      </c>
      <c r="G458" s="26" t="n">
        <v>2659</v>
      </c>
      <c r="H458" s="19" t="n">
        <f aca="false">SUMIFS(Paradas!$E$2:$E$1973,Paradas!$A$2:$A$1973,A458,Paradas!$B$2:$B$1973,B458,Paradas!$C$2:$C$1973,C458)</f>
        <v>105</v>
      </c>
      <c r="I458" s="19" t="n">
        <f aca="false">D458-H458</f>
        <v>375</v>
      </c>
      <c r="J458" s="19" t="n">
        <f aca="false">I458*E458</f>
        <v>3000</v>
      </c>
      <c r="K458" s="16" t="n">
        <f aca="false">IF(D458=0,0,I458/D458)</f>
        <v>0.78125</v>
      </c>
      <c r="L458" s="16" t="n">
        <f aca="false">IF(J458=0,0,F458/J458)</f>
        <v>0.898666666666667</v>
      </c>
      <c r="M458" s="16" t="n">
        <f aca="false">IF(F458=0,0,G458/F458)</f>
        <v>0.986275964391691</v>
      </c>
      <c r="N458" s="16" t="n">
        <f aca="false">K458*L458*M458</f>
        <v>0.692447916666667</v>
      </c>
      <c r="O458" s="19" t="n">
        <f aca="false">MONTH(A458)</f>
        <v>8</v>
      </c>
      <c r="P458" s="19" t="n">
        <f aca="false">INT((A458-DATE(2026,7,1))/7)+1</f>
        <v>8</v>
      </c>
    </row>
    <row r="459" customFormat="false" ht="15" hidden="false" customHeight="false" outlineLevel="0" collapsed="false">
      <c r="A459" s="25" t="n">
        <v>46254</v>
      </c>
      <c r="B459" s="26" t="s">
        <v>18</v>
      </c>
      <c r="C459" s="26" t="s">
        <v>73</v>
      </c>
      <c r="D459" s="26" t="n">
        <v>480</v>
      </c>
      <c r="E459" s="26" t="n">
        <v>8</v>
      </c>
      <c r="F459" s="26" t="n">
        <v>3032</v>
      </c>
      <c r="G459" s="26" t="n">
        <v>2983</v>
      </c>
      <c r="H459" s="19" t="n">
        <f aca="false">SUMIFS(Paradas!$E$2:$E$1973,Paradas!$A$2:$A$1973,A459,Paradas!$B$2:$B$1973,B459,Paradas!$C$2:$C$1973,C459)</f>
        <v>62</v>
      </c>
      <c r="I459" s="19" t="n">
        <f aca="false">D459-H459</f>
        <v>418</v>
      </c>
      <c r="J459" s="19" t="n">
        <f aca="false">I459*E459</f>
        <v>3344</v>
      </c>
      <c r="K459" s="16" t="n">
        <f aca="false">IF(D459=0,0,I459/D459)</f>
        <v>0.870833333333333</v>
      </c>
      <c r="L459" s="16" t="n">
        <f aca="false">IF(J459=0,0,F459/J459)</f>
        <v>0.906698564593301</v>
      </c>
      <c r="M459" s="16" t="n">
        <f aca="false">IF(F459=0,0,G459/F459)</f>
        <v>0.983839050131926</v>
      </c>
      <c r="N459" s="16" t="n">
        <f aca="false">K459*L459*M459</f>
        <v>0.776822916666667</v>
      </c>
      <c r="O459" s="19" t="n">
        <f aca="false">MONTH(A459)</f>
        <v>8</v>
      </c>
      <c r="P459" s="19" t="n">
        <f aca="false">INT((A459-DATE(2026,7,1))/7)+1</f>
        <v>8</v>
      </c>
    </row>
    <row r="460" customFormat="false" ht="15" hidden="false" customHeight="false" outlineLevel="0" collapsed="false">
      <c r="A460" s="25" t="n">
        <v>46254</v>
      </c>
      <c r="B460" s="26" t="s">
        <v>18</v>
      </c>
      <c r="C460" s="26" t="s">
        <v>74</v>
      </c>
      <c r="D460" s="26" t="n">
        <v>480</v>
      </c>
      <c r="E460" s="26" t="n">
        <v>8</v>
      </c>
      <c r="F460" s="26" t="n">
        <v>3011</v>
      </c>
      <c r="G460" s="26" t="n">
        <v>2946</v>
      </c>
      <c r="H460" s="19" t="n">
        <f aca="false">SUMIFS(Paradas!$E$2:$E$1973,Paradas!$A$2:$A$1973,A460,Paradas!$B$2:$B$1973,B460,Paradas!$C$2:$C$1973,C460)</f>
        <v>55</v>
      </c>
      <c r="I460" s="19" t="n">
        <f aca="false">D460-H460</f>
        <v>425</v>
      </c>
      <c r="J460" s="19" t="n">
        <f aca="false">I460*E460</f>
        <v>3400</v>
      </c>
      <c r="K460" s="16" t="n">
        <f aca="false">IF(D460=0,0,I460/D460)</f>
        <v>0.885416666666667</v>
      </c>
      <c r="L460" s="16" t="n">
        <f aca="false">IF(J460=0,0,F460/J460)</f>
        <v>0.885588235294118</v>
      </c>
      <c r="M460" s="16" t="n">
        <f aca="false">IF(F460=0,0,G460/F460)</f>
        <v>0.978412487545666</v>
      </c>
      <c r="N460" s="16" t="n">
        <f aca="false">K460*L460*M460</f>
        <v>0.7671875</v>
      </c>
      <c r="O460" s="19" t="n">
        <f aca="false">MONTH(A460)</f>
        <v>8</v>
      </c>
      <c r="P460" s="19" t="n">
        <f aca="false">INT((A460-DATE(2026,7,1))/7)+1</f>
        <v>8</v>
      </c>
    </row>
    <row r="461" customFormat="false" ht="15" hidden="false" customHeight="false" outlineLevel="0" collapsed="false">
      <c r="A461" s="25" t="n">
        <v>46255</v>
      </c>
      <c r="B461" s="26" t="s">
        <v>16</v>
      </c>
      <c r="C461" s="26" t="s">
        <v>72</v>
      </c>
      <c r="D461" s="26" t="n">
        <v>480</v>
      </c>
      <c r="E461" s="26" t="n">
        <v>12</v>
      </c>
      <c r="F461" s="26" t="n">
        <v>4437</v>
      </c>
      <c r="G461" s="26" t="n">
        <v>4361</v>
      </c>
      <c r="H461" s="19" t="n">
        <f aca="false">SUMIFS(Paradas!$E$2:$E$1973,Paradas!$A$2:$A$1973,A461,Paradas!$B$2:$B$1973,B461,Paradas!$C$2:$C$1973,C461)</f>
        <v>52</v>
      </c>
      <c r="I461" s="19" t="n">
        <f aca="false">D461-H461</f>
        <v>428</v>
      </c>
      <c r="J461" s="19" t="n">
        <f aca="false">I461*E461</f>
        <v>5136</v>
      </c>
      <c r="K461" s="16" t="n">
        <f aca="false">IF(D461=0,0,I461/D461)</f>
        <v>0.891666666666667</v>
      </c>
      <c r="L461" s="16" t="n">
        <f aca="false">IF(J461=0,0,F461/J461)</f>
        <v>0.863901869158879</v>
      </c>
      <c r="M461" s="16" t="n">
        <f aca="false">IF(F461=0,0,G461/F461)</f>
        <v>0.982871309443318</v>
      </c>
      <c r="N461" s="16" t="n">
        <f aca="false">K461*L461*M461</f>
        <v>0.757118055555556</v>
      </c>
      <c r="O461" s="19" t="n">
        <f aca="false">MONTH(A461)</f>
        <v>8</v>
      </c>
      <c r="P461" s="19" t="n">
        <f aca="false">INT((A461-DATE(2026,7,1))/7)+1</f>
        <v>8</v>
      </c>
    </row>
    <row r="462" customFormat="false" ht="15" hidden="false" customHeight="false" outlineLevel="0" collapsed="false">
      <c r="A462" s="25" t="n">
        <v>46255</v>
      </c>
      <c r="B462" s="26" t="s">
        <v>16</v>
      </c>
      <c r="C462" s="26" t="s">
        <v>73</v>
      </c>
      <c r="D462" s="26" t="n">
        <v>480</v>
      </c>
      <c r="E462" s="26" t="n">
        <v>12</v>
      </c>
      <c r="F462" s="26" t="n">
        <v>3503</v>
      </c>
      <c r="G462" s="26" t="n">
        <v>3400</v>
      </c>
      <c r="H462" s="19" t="n">
        <f aca="false">SUMIFS(Paradas!$E$2:$E$1973,Paradas!$A$2:$A$1973,A462,Paradas!$B$2:$B$1973,B462,Paradas!$C$2:$C$1973,C462)</f>
        <v>145</v>
      </c>
      <c r="I462" s="19" t="n">
        <f aca="false">D462-H462</f>
        <v>335</v>
      </c>
      <c r="J462" s="19" t="n">
        <f aca="false">I462*E462</f>
        <v>4020</v>
      </c>
      <c r="K462" s="16" t="n">
        <f aca="false">IF(D462=0,0,I462/D462)</f>
        <v>0.697916666666667</v>
      </c>
      <c r="L462" s="16" t="n">
        <f aca="false">IF(J462=0,0,F462/J462)</f>
        <v>0.871393034825871</v>
      </c>
      <c r="M462" s="16" t="n">
        <f aca="false">IF(F462=0,0,G462/F462)</f>
        <v>0.97059663145875</v>
      </c>
      <c r="N462" s="16" t="n">
        <f aca="false">K462*L462*M462</f>
        <v>0.590277777777778</v>
      </c>
      <c r="O462" s="19" t="n">
        <f aca="false">MONTH(A462)</f>
        <v>8</v>
      </c>
      <c r="P462" s="19" t="n">
        <f aca="false">INT((A462-DATE(2026,7,1))/7)+1</f>
        <v>8</v>
      </c>
    </row>
    <row r="463" customFormat="false" ht="15" hidden="false" customHeight="false" outlineLevel="0" collapsed="false">
      <c r="A463" s="25" t="n">
        <v>46255</v>
      </c>
      <c r="B463" s="26" t="s">
        <v>16</v>
      </c>
      <c r="C463" s="26" t="s">
        <v>74</v>
      </c>
      <c r="D463" s="26" t="n">
        <v>480</v>
      </c>
      <c r="E463" s="26" t="n">
        <v>12</v>
      </c>
      <c r="F463" s="26" t="n">
        <v>4651</v>
      </c>
      <c r="G463" s="26" t="n">
        <v>4586</v>
      </c>
      <c r="H463" s="19" t="n">
        <f aca="false">SUMIFS(Paradas!$E$2:$E$1973,Paradas!$A$2:$A$1973,A463,Paradas!$B$2:$B$1973,B463,Paradas!$C$2:$C$1973,C463)</f>
        <v>0</v>
      </c>
      <c r="I463" s="19" t="n">
        <f aca="false">D463-H463</f>
        <v>480</v>
      </c>
      <c r="J463" s="19" t="n">
        <f aca="false">I463*E463</f>
        <v>5760</v>
      </c>
      <c r="K463" s="16" t="n">
        <f aca="false">IF(D463=0,0,I463/D463)</f>
        <v>1</v>
      </c>
      <c r="L463" s="16" t="n">
        <f aca="false">IF(J463=0,0,F463/J463)</f>
        <v>0.807465277777778</v>
      </c>
      <c r="M463" s="16" t="n">
        <f aca="false">IF(F463=0,0,G463/F463)</f>
        <v>0.98602451085788</v>
      </c>
      <c r="N463" s="16" t="n">
        <f aca="false">K463*L463*M463</f>
        <v>0.796180555555556</v>
      </c>
      <c r="O463" s="19" t="n">
        <f aca="false">MONTH(A463)</f>
        <v>8</v>
      </c>
      <c r="P463" s="19" t="n">
        <f aca="false">INT((A463-DATE(2026,7,1))/7)+1</f>
        <v>8</v>
      </c>
    </row>
    <row r="464" customFormat="false" ht="15" hidden="false" customHeight="false" outlineLevel="0" collapsed="false">
      <c r="A464" s="25" t="n">
        <v>46255</v>
      </c>
      <c r="B464" s="26" t="s">
        <v>17</v>
      </c>
      <c r="C464" s="26" t="s">
        <v>72</v>
      </c>
      <c r="D464" s="26" t="n">
        <v>480</v>
      </c>
      <c r="E464" s="26" t="n">
        <v>10</v>
      </c>
      <c r="F464" s="26" t="n">
        <v>3506</v>
      </c>
      <c r="G464" s="26" t="n">
        <v>3302</v>
      </c>
      <c r="H464" s="19" t="n">
        <f aca="false">SUMIFS(Paradas!$E$2:$E$1973,Paradas!$A$2:$A$1973,A464,Paradas!$B$2:$B$1973,B464,Paradas!$C$2:$C$1973,C464)</f>
        <v>54</v>
      </c>
      <c r="I464" s="19" t="n">
        <f aca="false">D464-H464</f>
        <v>426</v>
      </c>
      <c r="J464" s="19" t="n">
        <f aca="false">I464*E464</f>
        <v>4260</v>
      </c>
      <c r="K464" s="16" t="n">
        <f aca="false">IF(D464=0,0,I464/D464)</f>
        <v>0.8875</v>
      </c>
      <c r="L464" s="16" t="n">
        <f aca="false">IF(J464=0,0,F464/J464)</f>
        <v>0.823004694835681</v>
      </c>
      <c r="M464" s="16" t="n">
        <f aca="false">IF(F464=0,0,G464/F464)</f>
        <v>0.941814033086138</v>
      </c>
      <c r="N464" s="16" t="n">
        <f aca="false">K464*L464*M464</f>
        <v>0.687916666666667</v>
      </c>
      <c r="O464" s="19" t="n">
        <f aca="false">MONTH(A464)</f>
        <v>8</v>
      </c>
      <c r="P464" s="19" t="n">
        <f aca="false">INT((A464-DATE(2026,7,1))/7)+1</f>
        <v>8</v>
      </c>
    </row>
    <row r="465" customFormat="false" ht="15" hidden="false" customHeight="false" outlineLevel="0" collapsed="false">
      <c r="A465" s="25" t="n">
        <v>46255</v>
      </c>
      <c r="B465" s="26" t="s">
        <v>17</v>
      </c>
      <c r="C465" s="26" t="s">
        <v>73</v>
      </c>
      <c r="D465" s="26" t="n">
        <v>480</v>
      </c>
      <c r="E465" s="26" t="n">
        <v>10</v>
      </c>
      <c r="F465" s="26" t="n">
        <v>3048</v>
      </c>
      <c r="G465" s="26" t="n">
        <v>2868</v>
      </c>
      <c r="H465" s="19" t="n">
        <f aca="false">SUMIFS(Paradas!$E$2:$E$1973,Paradas!$A$2:$A$1973,A465,Paradas!$B$2:$B$1973,B465,Paradas!$C$2:$C$1973,C465)</f>
        <v>140</v>
      </c>
      <c r="I465" s="19" t="n">
        <f aca="false">D465-H465</f>
        <v>340</v>
      </c>
      <c r="J465" s="19" t="n">
        <f aca="false">I465*E465</f>
        <v>3400</v>
      </c>
      <c r="K465" s="16" t="n">
        <f aca="false">IF(D465=0,0,I465/D465)</f>
        <v>0.708333333333333</v>
      </c>
      <c r="L465" s="16" t="n">
        <f aca="false">IF(J465=0,0,F465/J465)</f>
        <v>0.896470588235294</v>
      </c>
      <c r="M465" s="16" t="n">
        <f aca="false">IF(F465=0,0,G465/F465)</f>
        <v>0.940944881889764</v>
      </c>
      <c r="N465" s="16" t="n">
        <f aca="false">K465*L465*M465</f>
        <v>0.5975</v>
      </c>
      <c r="O465" s="19" t="n">
        <f aca="false">MONTH(A465)</f>
        <v>8</v>
      </c>
      <c r="P465" s="19" t="n">
        <f aca="false">INT((A465-DATE(2026,7,1))/7)+1</f>
        <v>8</v>
      </c>
    </row>
    <row r="466" customFormat="false" ht="15" hidden="false" customHeight="false" outlineLevel="0" collapsed="false">
      <c r="A466" s="25" t="n">
        <v>46255</v>
      </c>
      <c r="B466" s="26" t="s">
        <v>17</v>
      </c>
      <c r="C466" s="26" t="s">
        <v>74</v>
      </c>
      <c r="D466" s="26" t="n">
        <v>480</v>
      </c>
      <c r="E466" s="26" t="n">
        <v>10</v>
      </c>
      <c r="F466" s="26" t="n">
        <v>2698</v>
      </c>
      <c r="G466" s="26" t="n">
        <v>2550</v>
      </c>
      <c r="H466" s="19" t="n">
        <f aca="false">SUMIFS(Paradas!$E$2:$E$1973,Paradas!$A$2:$A$1973,A466,Paradas!$B$2:$B$1973,B466,Paradas!$C$2:$C$1973,C466)</f>
        <v>174</v>
      </c>
      <c r="I466" s="19" t="n">
        <f aca="false">D466-H466</f>
        <v>306</v>
      </c>
      <c r="J466" s="19" t="n">
        <f aca="false">I466*E466</f>
        <v>3060</v>
      </c>
      <c r="K466" s="16" t="n">
        <f aca="false">IF(D466=0,0,I466/D466)</f>
        <v>0.6375</v>
      </c>
      <c r="L466" s="16" t="n">
        <f aca="false">IF(J466=0,0,F466/J466)</f>
        <v>0.881699346405229</v>
      </c>
      <c r="M466" s="16" t="n">
        <f aca="false">IF(F466=0,0,G466/F466)</f>
        <v>0.945144551519644</v>
      </c>
      <c r="N466" s="16" t="n">
        <f aca="false">K466*L466*M466</f>
        <v>0.53125</v>
      </c>
      <c r="O466" s="19" t="n">
        <f aca="false">MONTH(A466)</f>
        <v>8</v>
      </c>
      <c r="P466" s="19" t="n">
        <f aca="false">INT((A466-DATE(2026,7,1))/7)+1</f>
        <v>8</v>
      </c>
    </row>
    <row r="467" customFormat="false" ht="15" hidden="false" customHeight="false" outlineLevel="0" collapsed="false">
      <c r="A467" s="25" t="n">
        <v>46255</v>
      </c>
      <c r="B467" s="26" t="s">
        <v>18</v>
      </c>
      <c r="C467" s="26" t="s">
        <v>72</v>
      </c>
      <c r="D467" s="26" t="n">
        <v>480</v>
      </c>
      <c r="E467" s="26" t="n">
        <v>8</v>
      </c>
      <c r="F467" s="26" t="n">
        <v>2471</v>
      </c>
      <c r="G467" s="26" t="n">
        <v>2383</v>
      </c>
      <c r="H467" s="19" t="n">
        <f aca="false">SUMIFS(Paradas!$E$2:$E$1973,Paradas!$A$2:$A$1973,A467,Paradas!$B$2:$B$1973,B467,Paradas!$C$2:$C$1973,C467)</f>
        <v>142</v>
      </c>
      <c r="I467" s="19" t="n">
        <f aca="false">D467-H467</f>
        <v>338</v>
      </c>
      <c r="J467" s="19" t="n">
        <f aca="false">I467*E467</f>
        <v>2704</v>
      </c>
      <c r="K467" s="16" t="n">
        <f aca="false">IF(D467=0,0,I467/D467)</f>
        <v>0.704166666666667</v>
      </c>
      <c r="L467" s="16" t="n">
        <f aca="false">IF(J467=0,0,F467/J467)</f>
        <v>0.913831360946746</v>
      </c>
      <c r="M467" s="16" t="n">
        <f aca="false">IF(F467=0,0,G467/F467)</f>
        <v>0.964386887899636</v>
      </c>
      <c r="N467" s="16" t="n">
        <f aca="false">K467*L467*M467</f>
        <v>0.620572916666667</v>
      </c>
      <c r="O467" s="19" t="n">
        <f aca="false">MONTH(A467)</f>
        <v>8</v>
      </c>
      <c r="P467" s="19" t="n">
        <f aca="false">INT((A467-DATE(2026,7,1))/7)+1</f>
        <v>8</v>
      </c>
    </row>
    <row r="468" customFormat="false" ht="15" hidden="false" customHeight="false" outlineLevel="0" collapsed="false">
      <c r="A468" s="25" t="n">
        <v>46255</v>
      </c>
      <c r="B468" s="26" t="s">
        <v>18</v>
      </c>
      <c r="C468" s="26" t="s">
        <v>73</v>
      </c>
      <c r="D468" s="26" t="n">
        <v>480</v>
      </c>
      <c r="E468" s="26" t="n">
        <v>8</v>
      </c>
      <c r="F468" s="26" t="n">
        <v>3440</v>
      </c>
      <c r="G468" s="26" t="n">
        <v>3357</v>
      </c>
      <c r="H468" s="19" t="n">
        <f aca="false">SUMIFS(Paradas!$E$2:$E$1973,Paradas!$A$2:$A$1973,A468,Paradas!$B$2:$B$1973,B468,Paradas!$C$2:$C$1973,C468)</f>
        <v>28</v>
      </c>
      <c r="I468" s="19" t="n">
        <f aca="false">D468-H468</f>
        <v>452</v>
      </c>
      <c r="J468" s="19" t="n">
        <f aca="false">I468*E468</f>
        <v>3616</v>
      </c>
      <c r="K468" s="16" t="n">
        <f aca="false">IF(D468=0,0,I468/D468)</f>
        <v>0.941666666666667</v>
      </c>
      <c r="L468" s="16" t="n">
        <f aca="false">IF(J468=0,0,F468/J468)</f>
        <v>0.951327433628319</v>
      </c>
      <c r="M468" s="16" t="n">
        <f aca="false">IF(F468=0,0,G468/F468)</f>
        <v>0.975872093023256</v>
      </c>
      <c r="N468" s="16" t="n">
        <f aca="false">K468*L468*M468</f>
        <v>0.87421875</v>
      </c>
      <c r="O468" s="19" t="n">
        <f aca="false">MONTH(A468)</f>
        <v>8</v>
      </c>
      <c r="P468" s="19" t="n">
        <f aca="false">INT((A468-DATE(2026,7,1))/7)+1</f>
        <v>8</v>
      </c>
    </row>
    <row r="469" customFormat="false" ht="15" hidden="false" customHeight="false" outlineLevel="0" collapsed="false">
      <c r="A469" s="25" t="n">
        <v>46255</v>
      </c>
      <c r="B469" s="26" t="s">
        <v>18</v>
      </c>
      <c r="C469" s="26" t="s">
        <v>74</v>
      </c>
      <c r="D469" s="26" t="n">
        <v>480</v>
      </c>
      <c r="E469" s="26" t="n">
        <v>8</v>
      </c>
      <c r="F469" s="26" t="n">
        <v>3099</v>
      </c>
      <c r="G469" s="26" t="n">
        <v>2949</v>
      </c>
      <c r="H469" s="19" t="n">
        <f aca="false">SUMIFS(Paradas!$E$2:$E$1973,Paradas!$A$2:$A$1973,A469,Paradas!$B$2:$B$1973,B469,Paradas!$C$2:$C$1973,C469)</f>
        <v>60</v>
      </c>
      <c r="I469" s="19" t="n">
        <f aca="false">D469-H469</f>
        <v>420</v>
      </c>
      <c r="J469" s="19" t="n">
        <f aca="false">I469*E469</f>
        <v>3360</v>
      </c>
      <c r="K469" s="16" t="n">
        <f aca="false">IF(D469=0,0,I469/D469)</f>
        <v>0.875</v>
      </c>
      <c r="L469" s="16" t="n">
        <f aca="false">IF(J469=0,0,F469/J469)</f>
        <v>0.922321428571429</v>
      </c>
      <c r="M469" s="16" t="n">
        <f aca="false">IF(F469=0,0,G469/F469)</f>
        <v>0.951597289448209</v>
      </c>
      <c r="N469" s="16" t="n">
        <f aca="false">K469*L469*M469</f>
        <v>0.76796875</v>
      </c>
      <c r="O469" s="19" t="n">
        <f aca="false">MONTH(A469)</f>
        <v>8</v>
      </c>
      <c r="P469" s="19" t="n">
        <f aca="false">INT((A469-DATE(2026,7,1))/7)+1</f>
        <v>8</v>
      </c>
    </row>
    <row r="470" customFormat="false" ht="15" hidden="false" customHeight="false" outlineLevel="0" collapsed="false">
      <c r="A470" s="25" t="n">
        <v>46256</v>
      </c>
      <c r="B470" s="26" t="s">
        <v>16</v>
      </c>
      <c r="C470" s="26" t="s">
        <v>72</v>
      </c>
      <c r="D470" s="26" t="n">
        <v>480</v>
      </c>
      <c r="E470" s="26" t="n">
        <v>12</v>
      </c>
      <c r="F470" s="26" t="n">
        <v>5392</v>
      </c>
      <c r="G470" s="26" t="n">
        <v>5204</v>
      </c>
      <c r="H470" s="19" t="n">
        <f aca="false">SUMIFS(Paradas!$E$2:$E$1973,Paradas!$A$2:$A$1973,A470,Paradas!$B$2:$B$1973,B470,Paradas!$C$2:$C$1973,C470)</f>
        <v>0</v>
      </c>
      <c r="I470" s="19" t="n">
        <f aca="false">D470-H470</f>
        <v>480</v>
      </c>
      <c r="J470" s="19" t="n">
        <f aca="false">I470*E470</f>
        <v>5760</v>
      </c>
      <c r="K470" s="16" t="n">
        <f aca="false">IF(D470=0,0,I470/D470)</f>
        <v>1</v>
      </c>
      <c r="L470" s="16" t="n">
        <f aca="false">IF(J470=0,0,F470/J470)</f>
        <v>0.936111111111111</v>
      </c>
      <c r="M470" s="16" t="n">
        <f aca="false">IF(F470=0,0,G470/F470)</f>
        <v>0.96513353115727</v>
      </c>
      <c r="N470" s="16" t="n">
        <f aca="false">K470*L470*M470</f>
        <v>0.903472222222222</v>
      </c>
      <c r="O470" s="19" t="n">
        <f aca="false">MONTH(A470)</f>
        <v>8</v>
      </c>
      <c r="P470" s="19" t="n">
        <f aca="false">INT((A470-DATE(2026,7,1))/7)+1</f>
        <v>8</v>
      </c>
    </row>
    <row r="471" customFormat="false" ht="15" hidden="false" customHeight="false" outlineLevel="0" collapsed="false">
      <c r="A471" s="25" t="n">
        <v>46256</v>
      </c>
      <c r="B471" s="26" t="s">
        <v>16</v>
      </c>
      <c r="C471" s="26" t="s">
        <v>73</v>
      </c>
      <c r="D471" s="26" t="n">
        <v>480</v>
      </c>
      <c r="E471" s="26" t="n">
        <v>12</v>
      </c>
      <c r="F471" s="26" t="n">
        <v>4433</v>
      </c>
      <c r="G471" s="26" t="n">
        <v>4345</v>
      </c>
      <c r="H471" s="19" t="n">
        <f aca="false">SUMIFS(Paradas!$E$2:$E$1973,Paradas!$A$2:$A$1973,A471,Paradas!$B$2:$B$1973,B471,Paradas!$C$2:$C$1973,C471)</f>
        <v>75</v>
      </c>
      <c r="I471" s="19" t="n">
        <f aca="false">D471-H471</f>
        <v>405</v>
      </c>
      <c r="J471" s="19" t="n">
        <f aca="false">I471*E471</f>
        <v>4860</v>
      </c>
      <c r="K471" s="16" t="n">
        <f aca="false">IF(D471=0,0,I471/D471)</f>
        <v>0.84375</v>
      </c>
      <c r="L471" s="16" t="n">
        <f aca="false">IF(J471=0,0,F471/J471)</f>
        <v>0.912139917695473</v>
      </c>
      <c r="M471" s="16" t="n">
        <f aca="false">IF(F471=0,0,G471/F471)</f>
        <v>0.98014888337469</v>
      </c>
      <c r="N471" s="16" t="n">
        <f aca="false">K471*L471*M471</f>
        <v>0.754340277777778</v>
      </c>
      <c r="O471" s="19" t="n">
        <f aca="false">MONTH(A471)</f>
        <v>8</v>
      </c>
      <c r="P471" s="19" t="n">
        <f aca="false">INT((A471-DATE(2026,7,1))/7)+1</f>
        <v>8</v>
      </c>
    </row>
    <row r="472" customFormat="false" ht="15" hidden="false" customHeight="false" outlineLevel="0" collapsed="false">
      <c r="A472" s="25" t="n">
        <v>46256</v>
      </c>
      <c r="B472" s="26" t="s">
        <v>16</v>
      </c>
      <c r="C472" s="26" t="s">
        <v>74</v>
      </c>
      <c r="D472" s="26" t="n">
        <v>480</v>
      </c>
      <c r="E472" s="26" t="n">
        <v>12</v>
      </c>
      <c r="F472" s="26" t="n">
        <v>5121</v>
      </c>
      <c r="G472" s="26" t="n">
        <v>4990</v>
      </c>
      <c r="H472" s="19" t="n">
        <f aca="false">SUMIFS(Paradas!$E$2:$E$1973,Paradas!$A$2:$A$1973,A472,Paradas!$B$2:$B$1973,B472,Paradas!$C$2:$C$1973,C472)</f>
        <v>13</v>
      </c>
      <c r="I472" s="19" t="n">
        <f aca="false">D472-H472</f>
        <v>467</v>
      </c>
      <c r="J472" s="19" t="n">
        <f aca="false">I472*E472</f>
        <v>5604</v>
      </c>
      <c r="K472" s="16" t="n">
        <f aca="false">IF(D472=0,0,I472/D472)</f>
        <v>0.972916666666667</v>
      </c>
      <c r="L472" s="16" t="n">
        <f aca="false">IF(J472=0,0,F472/J472)</f>
        <v>0.913811563169165</v>
      </c>
      <c r="M472" s="16" t="n">
        <f aca="false">IF(F472=0,0,G472/F472)</f>
        <v>0.974419058777583</v>
      </c>
      <c r="N472" s="16" t="n">
        <f aca="false">K472*L472*M472</f>
        <v>0.866319444444444</v>
      </c>
      <c r="O472" s="19" t="n">
        <f aca="false">MONTH(A472)</f>
        <v>8</v>
      </c>
      <c r="P472" s="19" t="n">
        <f aca="false">INT((A472-DATE(2026,7,1))/7)+1</f>
        <v>8</v>
      </c>
    </row>
    <row r="473" customFormat="false" ht="15" hidden="false" customHeight="false" outlineLevel="0" collapsed="false">
      <c r="A473" s="25" t="n">
        <v>46256</v>
      </c>
      <c r="B473" s="26" t="s">
        <v>17</v>
      </c>
      <c r="C473" s="26" t="s">
        <v>72</v>
      </c>
      <c r="D473" s="26" t="n">
        <v>480</v>
      </c>
      <c r="E473" s="26" t="n">
        <v>10</v>
      </c>
      <c r="F473" s="26" t="n">
        <v>3890</v>
      </c>
      <c r="G473" s="26" t="n">
        <v>3703</v>
      </c>
      <c r="H473" s="19" t="n">
        <f aca="false">SUMIFS(Paradas!$E$2:$E$1973,Paradas!$A$2:$A$1973,A473,Paradas!$B$2:$B$1973,B473,Paradas!$C$2:$C$1973,C473)</f>
        <v>59</v>
      </c>
      <c r="I473" s="19" t="n">
        <f aca="false">D473-H473</f>
        <v>421</v>
      </c>
      <c r="J473" s="19" t="n">
        <f aca="false">I473*E473</f>
        <v>4210</v>
      </c>
      <c r="K473" s="16" t="n">
        <f aca="false">IF(D473=0,0,I473/D473)</f>
        <v>0.877083333333333</v>
      </c>
      <c r="L473" s="16" t="n">
        <f aca="false">IF(J473=0,0,F473/J473)</f>
        <v>0.923990498812352</v>
      </c>
      <c r="M473" s="16" t="n">
        <f aca="false">IF(F473=0,0,G473/F473)</f>
        <v>0.951928020565553</v>
      </c>
      <c r="N473" s="16" t="n">
        <f aca="false">K473*L473*M473</f>
        <v>0.771458333333333</v>
      </c>
      <c r="O473" s="19" t="n">
        <f aca="false">MONTH(A473)</f>
        <v>8</v>
      </c>
      <c r="P473" s="19" t="n">
        <f aca="false">INT((A473-DATE(2026,7,1))/7)+1</f>
        <v>8</v>
      </c>
    </row>
    <row r="474" customFormat="false" ht="15" hidden="false" customHeight="false" outlineLevel="0" collapsed="false">
      <c r="A474" s="25" t="n">
        <v>46256</v>
      </c>
      <c r="B474" s="26" t="s">
        <v>17</v>
      </c>
      <c r="C474" s="26" t="s">
        <v>73</v>
      </c>
      <c r="D474" s="26" t="n">
        <v>480</v>
      </c>
      <c r="E474" s="26" t="n">
        <v>10</v>
      </c>
      <c r="F474" s="26" t="n">
        <v>2635</v>
      </c>
      <c r="G474" s="26" t="n">
        <v>2497</v>
      </c>
      <c r="H474" s="19" t="n">
        <f aca="false">SUMIFS(Paradas!$E$2:$E$1973,Paradas!$A$2:$A$1973,A474,Paradas!$B$2:$B$1973,B474,Paradas!$C$2:$C$1973,C474)</f>
        <v>187</v>
      </c>
      <c r="I474" s="19" t="n">
        <f aca="false">D474-H474</f>
        <v>293</v>
      </c>
      <c r="J474" s="19" t="n">
        <f aca="false">I474*E474</f>
        <v>2930</v>
      </c>
      <c r="K474" s="16" t="n">
        <f aca="false">IF(D474=0,0,I474/D474)</f>
        <v>0.610416666666667</v>
      </c>
      <c r="L474" s="16" t="n">
        <f aca="false">IF(J474=0,0,F474/J474)</f>
        <v>0.899317406143345</v>
      </c>
      <c r="M474" s="16" t="n">
        <f aca="false">IF(F474=0,0,G474/F474)</f>
        <v>0.947628083491461</v>
      </c>
      <c r="N474" s="16" t="n">
        <f aca="false">K474*L474*M474</f>
        <v>0.520208333333333</v>
      </c>
      <c r="O474" s="19" t="n">
        <f aca="false">MONTH(A474)</f>
        <v>8</v>
      </c>
      <c r="P474" s="19" t="n">
        <f aca="false">INT((A474-DATE(2026,7,1))/7)+1</f>
        <v>8</v>
      </c>
    </row>
    <row r="475" customFormat="false" ht="15" hidden="false" customHeight="false" outlineLevel="0" collapsed="false">
      <c r="A475" s="25" t="n">
        <v>46256</v>
      </c>
      <c r="B475" s="26" t="s">
        <v>17</v>
      </c>
      <c r="C475" s="26" t="s">
        <v>74</v>
      </c>
      <c r="D475" s="26" t="n">
        <v>480</v>
      </c>
      <c r="E475" s="26" t="n">
        <v>10</v>
      </c>
      <c r="F475" s="26" t="n">
        <v>2376</v>
      </c>
      <c r="G475" s="26" t="n">
        <v>2298</v>
      </c>
      <c r="H475" s="19" t="n">
        <f aca="false">SUMIFS(Paradas!$E$2:$E$1973,Paradas!$A$2:$A$1973,A475,Paradas!$B$2:$B$1973,B475,Paradas!$C$2:$C$1973,C475)</f>
        <v>209</v>
      </c>
      <c r="I475" s="19" t="n">
        <f aca="false">D475-H475</f>
        <v>271</v>
      </c>
      <c r="J475" s="19" t="n">
        <f aca="false">I475*E475</f>
        <v>2710</v>
      </c>
      <c r="K475" s="16" t="n">
        <f aca="false">IF(D475=0,0,I475/D475)</f>
        <v>0.564583333333333</v>
      </c>
      <c r="L475" s="16" t="n">
        <f aca="false">IF(J475=0,0,F475/J475)</f>
        <v>0.876752767527675</v>
      </c>
      <c r="M475" s="16" t="n">
        <f aca="false">IF(F475=0,0,G475/F475)</f>
        <v>0.967171717171717</v>
      </c>
      <c r="N475" s="16" t="n">
        <f aca="false">K475*L475*M475</f>
        <v>0.47875</v>
      </c>
      <c r="O475" s="19" t="n">
        <f aca="false">MONTH(A475)</f>
        <v>8</v>
      </c>
      <c r="P475" s="19" t="n">
        <f aca="false">INT((A475-DATE(2026,7,1))/7)+1</f>
        <v>8</v>
      </c>
    </row>
    <row r="476" customFormat="false" ht="15" hidden="false" customHeight="false" outlineLevel="0" collapsed="false">
      <c r="A476" s="25" t="n">
        <v>46256</v>
      </c>
      <c r="B476" s="26" t="s">
        <v>18</v>
      </c>
      <c r="C476" s="26" t="s">
        <v>72</v>
      </c>
      <c r="D476" s="26" t="n">
        <v>480</v>
      </c>
      <c r="E476" s="26" t="n">
        <v>8</v>
      </c>
      <c r="F476" s="26" t="n">
        <v>3230</v>
      </c>
      <c r="G476" s="26" t="n">
        <v>3121</v>
      </c>
      <c r="H476" s="19" t="n">
        <f aca="false">SUMIFS(Paradas!$E$2:$E$1973,Paradas!$A$2:$A$1973,A476,Paradas!$B$2:$B$1973,B476,Paradas!$C$2:$C$1973,C476)</f>
        <v>42</v>
      </c>
      <c r="I476" s="19" t="n">
        <f aca="false">D476-H476</f>
        <v>438</v>
      </c>
      <c r="J476" s="19" t="n">
        <f aca="false">I476*E476</f>
        <v>3504</v>
      </c>
      <c r="K476" s="16" t="n">
        <f aca="false">IF(D476=0,0,I476/D476)</f>
        <v>0.9125</v>
      </c>
      <c r="L476" s="16" t="n">
        <f aca="false">IF(J476=0,0,F476/J476)</f>
        <v>0.921803652968037</v>
      </c>
      <c r="M476" s="16" t="n">
        <f aca="false">IF(F476=0,0,G476/F476)</f>
        <v>0.96625386996904</v>
      </c>
      <c r="N476" s="16" t="n">
        <f aca="false">K476*L476*M476</f>
        <v>0.812760416666667</v>
      </c>
      <c r="O476" s="19" t="n">
        <f aca="false">MONTH(A476)</f>
        <v>8</v>
      </c>
      <c r="P476" s="19" t="n">
        <f aca="false">INT((A476-DATE(2026,7,1))/7)+1</f>
        <v>8</v>
      </c>
    </row>
    <row r="477" customFormat="false" ht="15" hidden="false" customHeight="false" outlineLevel="0" collapsed="false">
      <c r="A477" s="25" t="n">
        <v>46256</v>
      </c>
      <c r="B477" s="26" t="s">
        <v>18</v>
      </c>
      <c r="C477" s="26" t="s">
        <v>73</v>
      </c>
      <c r="D477" s="26" t="n">
        <v>480</v>
      </c>
      <c r="E477" s="26" t="n">
        <v>8</v>
      </c>
      <c r="F477" s="26" t="n">
        <v>3272</v>
      </c>
      <c r="G477" s="26" t="n">
        <v>3175</v>
      </c>
      <c r="H477" s="19" t="n">
        <f aca="false">SUMIFS(Paradas!$E$2:$E$1973,Paradas!$A$2:$A$1973,A477,Paradas!$B$2:$B$1973,B477,Paradas!$C$2:$C$1973,C477)</f>
        <v>50</v>
      </c>
      <c r="I477" s="19" t="n">
        <f aca="false">D477-H477</f>
        <v>430</v>
      </c>
      <c r="J477" s="19" t="n">
        <f aca="false">I477*E477</f>
        <v>3440</v>
      </c>
      <c r="K477" s="16" t="n">
        <f aca="false">IF(D477=0,0,I477/D477)</f>
        <v>0.895833333333333</v>
      </c>
      <c r="L477" s="16" t="n">
        <f aca="false">IF(J477=0,0,F477/J477)</f>
        <v>0.951162790697674</v>
      </c>
      <c r="M477" s="16" t="n">
        <f aca="false">IF(F477=0,0,G477/F477)</f>
        <v>0.970354523227384</v>
      </c>
      <c r="N477" s="16" t="n">
        <f aca="false">K477*L477*M477</f>
        <v>0.826822916666667</v>
      </c>
      <c r="O477" s="19" t="n">
        <f aca="false">MONTH(A477)</f>
        <v>8</v>
      </c>
      <c r="P477" s="19" t="n">
        <f aca="false">INT((A477-DATE(2026,7,1))/7)+1</f>
        <v>8</v>
      </c>
    </row>
    <row r="478" customFormat="false" ht="15" hidden="false" customHeight="false" outlineLevel="0" collapsed="false">
      <c r="A478" s="25" t="n">
        <v>46256</v>
      </c>
      <c r="B478" s="26" t="s">
        <v>18</v>
      </c>
      <c r="C478" s="26" t="s">
        <v>74</v>
      </c>
      <c r="D478" s="26" t="n">
        <v>480</v>
      </c>
      <c r="E478" s="26" t="n">
        <v>8</v>
      </c>
      <c r="F478" s="26" t="n">
        <v>2474</v>
      </c>
      <c r="G478" s="26" t="n">
        <v>2469</v>
      </c>
      <c r="H478" s="19" t="n">
        <f aca="false">SUMIFS(Paradas!$E$2:$E$1973,Paradas!$A$2:$A$1973,A478,Paradas!$B$2:$B$1973,B478,Paradas!$C$2:$C$1973,C478)</f>
        <v>110</v>
      </c>
      <c r="I478" s="19" t="n">
        <f aca="false">D478-H478</f>
        <v>370</v>
      </c>
      <c r="J478" s="19" t="n">
        <f aca="false">I478*E478</f>
        <v>2960</v>
      </c>
      <c r="K478" s="16" t="n">
        <f aca="false">IF(D478=0,0,I478/D478)</f>
        <v>0.770833333333333</v>
      </c>
      <c r="L478" s="16" t="n">
        <f aca="false">IF(J478=0,0,F478/J478)</f>
        <v>0.835810810810811</v>
      </c>
      <c r="M478" s="16" t="n">
        <f aca="false">IF(F478=0,0,G478/F478)</f>
        <v>0.997978981406629</v>
      </c>
      <c r="N478" s="16" t="n">
        <f aca="false">K478*L478*M478</f>
        <v>0.64296875</v>
      </c>
      <c r="O478" s="19" t="n">
        <f aca="false">MONTH(A478)</f>
        <v>8</v>
      </c>
      <c r="P478" s="19" t="n">
        <f aca="false">INT((A478-DATE(2026,7,1))/7)+1</f>
        <v>8</v>
      </c>
    </row>
    <row r="479" customFormat="false" ht="15" hidden="false" customHeight="false" outlineLevel="0" collapsed="false">
      <c r="A479" s="25" t="n">
        <v>46257</v>
      </c>
      <c r="B479" s="26" t="s">
        <v>16</v>
      </c>
      <c r="C479" s="26" t="s">
        <v>72</v>
      </c>
      <c r="D479" s="26" t="n">
        <v>480</v>
      </c>
      <c r="E479" s="26" t="n">
        <v>12</v>
      </c>
      <c r="F479" s="26" t="n">
        <v>3887</v>
      </c>
      <c r="G479" s="26" t="n">
        <v>3834</v>
      </c>
      <c r="H479" s="19" t="n">
        <f aca="false">SUMIFS(Paradas!$E$2:$E$1973,Paradas!$A$2:$A$1973,A479,Paradas!$B$2:$B$1973,B479,Paradas!$C$2:$C$1973,C479)</f>
        <v>126</v>
      </c>
      <c r="I479" s="19" t="n">
        <f aca="false">D479-H479</f>
        <v>354</v>
      </c>
      <c r="J479" s="19" t="n">
        <f aca="false">I479*E479</f>
        <v>4248</v>
      </c>
      <c r="K479" s="16" t="n">
        <f aca="false">IF(D479=0,0,I479/D479)</f>
        <v>0.7375</v>
      </c>
      <c r="L479" s="16" t="n">
        <f aca="false">IF(J479=0,0,F479/J479)</f>
        <v>0.915018832391714</v>
      </c>
      <c r="M479" s="16" t="n">
        <f aca="false">IF(F479=0,0,G479/F479)</f>
        <v>0.986364805762799</v>
      </c>
      <c r="N479" s="16" t="n">
        <f aca="false">K479*L479*M479</f>
        <v>0.665625</v>
      </c>
      <c r="O479" s="19" t="n">
        <f aca="false">MONTH(A479)</f>
        <v>8</v>
      </c>
      <c r="P479" s="19" t="n">
        <f aca="false">INT((A479-DATE(2026,7,1))/7)+1</f>
        <v>8</v>
      </c>
    </row>
    <row r="480" customFormat="false" ht="15" hidden="false" customHeight="false" outlineLevel="0" collapsed="false">
      <c r="A480" s="25" t="n">
        <v>46257</v>
      </c>
      <c r="B480" s="26" t="s">
        <v>16</v>
      </c>
      <c r="C480" s="26" t="s">
        <v>73</v>
      </c>
      <c r="D480" s="26" t="n">
        <v>480</v>
      </c>
      <c r="E480" s="26" t="n">
        <v>12</v>
      </c>
      <c r="F480" s="26" t="n">
        <v>4891</v>
      </c>
      <c r="G480" s="26" t="n">
        <v>4792</v>
      </c>
      <c r="H480" s="19" t="n">
        <f aca="false">SUMIFS(Paradas!$E$2:$E$1973,Paradas!$A$2:$A$1973,A480,Paradas!$B$2:$B$1973,B480,Paradas!$C$2:$C$1973,C480)</f>
        <v>23</v>
      </c>
      <c r="I480" s="19" t="n">
        <f aca="false">D480-H480</f>
        <v>457</v>
      </c>
      <c r="J480" s="19" t="n">
        <f aca="false">I480*E480</f>
        <v>5484</v>
      </c>
      <c r="K480" s="16" t="n">
        <f aca="false">IF(D480=0,0,I480/D480)</f>
        <v>0.952083333333333</v>
      </c>
      <c r="L480" s="16" t="n">
        <f aca="false">IF(J480=0,0,F480/J480)</f>
        <v>0.891867250182349</v>
      </c>
      <c r="M480" s="16" t="n">
        <f aca="false">IF(F480=0,0,G480/F480)</f>
        <v>0.979758740543856</v>
      </c>
      <c r="N480" s="16" t="n">
        <f aca="false">K480*L480*M480</f>
        <v>0.831944444444444</v>
      </c>
      <c r="O480" s="19" t="n">
        <f aca="false">MONTH(A480)</f>
        <v>8</v>
      </c>
      <c r="P480" s="19" t="n">
        <f aca="false">INT((A480-DATE(2026,7,1))/7)+1</f>
        <v>8</v>
      </c>
    </row>
    <row r="481" customFormat="false" ht="15" hidden="false" customHeight="false" outlineLevel="0" collapsed="false">
      <c r="A481" s="25" t="n">
        <v>46257</v>
      </c>
      <c r="B481" s="26" t="s">
        <v>16</v>
      </c>
      <c r="C481" s="26" t="s">
        <v>74</v>
      </c>
      <c r="D481" s="26" t="n">
        <v>480</v>
      </c>
      <c r="E481" s="26" t="n">
        <v>12</v>
      </c>
      <c r="F481" s="26" t="n">
        <v>4321</v>
      </c>
      <c r="G481" s="26" t="n">
        <v>4241</v>
      </c>
      <c r="H481" s="19" t="n">
        <f aca="false">SUMIFS(Paradas!$E$2:$E$1973,Paradas!$A$2:$A$1973,A481,Paradas!$B$2:$B$1973,B481,Paradas!$C$2:$C$1973,C481)</f>
        <v>82</v>
      </c>
      <c r="I481" s="19" t="n">
        <f aca="false">D481-H481</f>
        <v>398</v>
      </c>
      <c r="J481" s="19" t="n">
        <f aca="false">I481*E481</f>
        <v>4776</v>
      </c>
      <c r="K481" s="16" t="n">
        <f aca="false">IF(D481=0,0,I481/D481)</f>
        <v>0.829166666666667</v>
      </c>
      <c r="L481" s="16" t="n">
        <f aca="false">IF(J481=0,0,F481/J481)</f>
        <v>0.904731993299832</v>
      </c>
      <c r="M481" s="16" t="n">
        <f aca="false">IF(F481=0,0,G481/F481)</f>
        <v>0.981485767183522</v>
      </c>
      <c r="N481" s="16" t="n">
        <f aca="false">K481*L481*M481</f>
        <v>0.736284722222222</v>
      </c>
      <c r="O481" s="19" t="n">
        <f aca="false">MONTH(A481)</f>
        <v>8</v>
      </c>
      <c r="P481" s="19" t="n">
        <f aca="false">INT((A481-DATE(2026,7,1))/7)+1</f>
        <v>8</v>
      </c>
    </row>
    <row r="482" customFormat="false" ht="15" hidden="false" customHeight="false" outlineLevel="0" collapsed="false">
      <c r="A482" s="25" t="n">
        <v>46257</v>
      </c>
      <c r="B482" s="26" t="s">
        <v>17</v>
      </c>
      <c r="C482" s="26" t="s">
        <v>72</v>
      </c>
      <c r="D482" s="26" t="n">
        <v>480</v>
      </c>
      <c r="E482" s="26" t="n">
        <v>10</v>
      </c>
      <c r="F482" s="26" t="n">
        <v>2462</v>
      </c>
      <c r="G482" s="26" t="n">
        <v>2334</v>
      </c>
      <c r="H482" s="19" t="n">
        <f aca="false">SUMIFS(Paradas!$E$2:$E$1973,Paradas!$A$2:$A$1973,A482,Paradas!$B$2:$B$1973,B482,Paradas!$C$2:$C$1973,C482)</f>
        <v>216</v>
      </c>
      <c r="I482" s="19" t="n">
        <f aca="false">D482-H482</f>
        <v>264</v>
      </c>
      <c r="J482" s="19" t="n">
        <f aca="false">I482*E482</f>
        <v>2640</v>
      </c>
      <c r="K482" s="16" t="n">
        <f aca="false">IF(D482=0,0,I482/D482)</f>
        <v>0.55</v>
      </c>
      <c r="L482" s="16" t="n">
        <f aca="false">IF(J482=0,0,F482/J482)</f>
        <v>0.932575757575758</v>
      </c>
      <c r="M482" s="16" t="n">
        <f aca="false">IF(F482=0,0,G482/F482)</f>
        <v>0.948009748172218</v>
      </c>
      <c r="N482" s="16" t="n">
        <f aca="false">K482*L482*M482</f>
        <v>0.48625</v>
      </c>
      <c r="O482" s="19" t="n">
        <f aca="false">MONTH(A482)</f>
        <v>8</v>
      </c>
      <c r="P482" s="19" t="n">
        <f aca="false">INT((A482-DATE(2026,7,1))/7)+1</f>
        <v>8</v>
      </c>
    </row>
    <row r="483" customFormat="false" ht="15" hidden="false" customHeight="false" outlineLevel="0" collapsed="false">
      <c r="A483" s="25" t="n">
        <v>46257</v>
      </c>
      <c r="B483" s="26" t="s">
        <v>17</v>
      </c>
      <c r="C483" s="26" t="s">
        <v>73</v>
      </c>
      <c r="D483" s="26" t="n">
        <v>480</v>
      </c>
      <c r="E483" s="26" t="n">
        <v>10</v>
      </c>
      <c r="F483" s="26" t="n">
        <v>3731</v>
      </c>
      <c r="G483" s="26" t="n">
        <v>3539</v>
      </c>
      <c r="H483" s="19" t="n">
        <f aca="false">SUMIFS(Paradas!$E$2:$E$1973,Paradas!$A$2:$A$1973,A483,Paradas!$B$2:$B$1973,B483,Paradas!$C$2:$C$1973,C483)</f>
        <v>58</v>
      </c>
      <c r="I483" s="19" t="n">
        <f aca="false">D483-H483</f>
        <v>422</v>
      </c>
      <c r="J483" s="19" t="n">
        <f aca="false">I483*E483</f>
        <v>4220</v>
      </c>
      <c r="K483" s="16" t="n">
        <f aca="false">IF(D483=0,0,I483/D483)</f>
        <v>0.879166666666667</v>
      </c>
      <c r="L483" s="16" t="n">
        <f aca="false">IF(J483=0,0,F483/J483)</f>
        <v>0.884123222748815</v>
      </c>
      <c r="M483" s="16" t="n">
        <f aca="false">IF(F483=0,0,G483/F483)</f>
        <v>0.948539265612436</v>
      </c>
      <c r="N483" s="16" t="n">
        <f aca="false">K483*L483*M483</f>
        <v>0.737291666666667</v>
      </c>
      <c r="O483" s="19" t="n">
        <f aca="false">MONTH(A483)</f>
        <v>8</v>
      </c>
      <c r="P483" s="19" t="n">
        <f aca="false">INT((A483-DATE(2026,7,1))/7)+1</f>
        <v>8</v>
      </c>
    </row>
    <row r="484" customFormat="false" ht="15" hidden="false" customHeight="false" outlineLevel="0" collapsed="false">
      <c r="A484" s="25" t="n">
        <v>46257</v>
      </c>
      <c r="B484" s="26" t="s">
        <v>17</v>
      </c>
      <c r="C484" s="26" t="s">
        <v>74</v>
      </c>
      <c r="D484" s="26" t="n">
        <v>480</v>
      </c>
      <c r="E484" s="26" t="n">
        <v>10</v>
      </c>
      <c r="F484" s="26" t="n">
        <v>2710</v>
      </c>
      <c r="G484" s="26" t="n">
        <v>2558</v>
      </c>
      <c r="H484" s="19" t="n">
        <f aca="false">SUMIFS(Paradas!$E$2:$E$1973,Paradas!$A$2:$A$1973,A484,Paradas!$B$2:$B$1973,B484,Paradas!$C$2:$C$1973,C484)</f>
        <v>151</v>
      </c>
      <c r="I484" s="19" t="n">
        <f aca="false">D484-H484</f>
        <v>329</v>
      </c>
      <c r="J484" s="19" t="n">
        <f aca="false">I484*E484</f>
        <v>3290</v>
      </c>
      <c r="K484" s="16" t="n">
        <f aca="false">IF(D484=0,0,I484/D484)</f>
        <v>0.685416666666667</v>
      </c>
      <c r="L484" s="16" t="n">
        <f aca="false">IF(J484=0,0,F484/J484)</f>
        <v>0.82370820668693</v>
      </c>
      <c r="M484" s="16" t="n">
        <f aca="false">IF(F484=0,0,G484/F484)</f>
        <v>0.943911439114391</v>
      </c>
      <c r="N484" s="16" t="n">
        <f aca="false">K484*L484*M484</f>
        <v>0.532916666666667</v>
      </c>
      <c r="O484" s="19" t="n">
        <f aca="false">MONTH(A484)</f>
        <v>8</v>
      </c>
      <c r="P484" s="19" t="n">
        <f aca="false">INT((A484-DATE(2026,7,1))/7)+1</f>
        <v>8</v>
      </c>
    </row>
    <row r="485" customFormat="false" ht="15" hidden="false" customHeight="false" outlineLevel="0" collapsed="false">
      <c r="A485" s="25" t="n">
        <v>46257</v>
      </c>
      <c r="B485" s="26" t="s">
        <v>18</v>
      </c>
      <c r="C485" s="26" t="s">
        <v>72</v>
      </c>
      <c r="D485" s="26" t="n">
        <v>480</v>
      </c>
      <c r="E485" s="26" t="n">
        <v>8</v>
      </c>
      <c r="F485" s="26" t="n">
        <v>2865</v>
      </c>
      <c r="G485" s="26" t="n">
        <v>2809</v>
      </c>
      <c r="H485" s="19" t="n">
        <f aca="false">SUMIFS(Paradas!$E$2:$E$1973,Paradas!$A$2:$A$1973,A485,Paradas!$B$2:$B$1973,B485,Paradas!$C$2:$C$1973,C485)</f>
        <v>42</v>
      </c>
      <c r="I485" s="19" t="n">
        <f aca="false">D485-H485</f>
        <v>438</v>
      </c>
      <c r="J485" s="19" t="n">
        <f aca="false">I485*E485</f>
        <v>3504</v>
      </c>
      <c r="K485" s="16" t="n">
        <f aca="false">IF(D485=0,0,I485/D485)</f>
        <v>0.9125</v>
      </c>
      <c r="L485" s="16" t="n">
        <f aca="false">IF(J485=0,0,F485/J485)</f>
        <v>0.81763698630137</v>
      </c>
      <c r="M485" s="16" t="n">
        <f aca="false">IF(F485=0,0,G485/F485)</f>
        <v>0.980453752181501</v>
      </c>
      <c r="N485" s="16" t="n">
        <f aca="false">K485*L485*M485</f>
        <v>0.731510416666667</v>
      </c>
      <c r="O485" s="19" t="n">
        <f aca="false">MONTH(A485)</f>
        <v>8</v>
      </c>
      <c r="P485" s="19" t="n">
        <f aca="false">INT((A485-DATE(2026,7,1))/7)+1</f>
        <v>8</v>
      </c>
    </row>
    <row r="486" customFormat="false" ht="15" hidden="false" customHeight="false" outlineLevel="0" collapsed="false">
      <c r="A486" s="25" t="n">
        <v>46257</v>
      </c>
      <c r="B486" s="26" t="s">
        <v>18</v>
      </c>
      <c r="C486" s="26" t="s">
        <v>73</v>
      </c>
      <c r="D486" s="26" t="n">
        <v>480</v>
      </c>
      <c r="E486" s="26" t="n">
        <v>8</v>
      </c>
      <c r="F486" s="26" t="n">
        <v>2539</v>
      </c>
      <c r="G486" s="26" t="n">
        <v>2470</v>
      </c>
      <c r="H486" s="19" t="n">
        <f aca="false">SUMIFS(Paradas!$E$2:$E$1973,Paradas!$A$2:$A$1973,A486,Paradas!$B$2:$B$1973,B486,Paradas!$C$2:$C$1973,C486)</f>
        <v>140</v>
      </c>
      <c r="I486" s="19" t="n">
        <f aca="false">D486-H486</f>
        <v>340</v>
      </c>
      <c r="J486" s="19" t="n">
        <f aca="false">I486*E486</f>
        <v>2720</v>
      </c>
      <c r="K486" s="16" t="n">
        <f aca="false">IF(D486=0,0,I486/D486)</f>
        <v>0.708333333333333</v>
      </c>
      <c r="L486" s="16" t="n">
        <f aca="false">IF(J486=0,0,F486/J486)</f>
        <v>0.933455882352941</v>
      </c>
      <c r="M486" s="16" t="n">
        <f aca="false">IF(F486=0,0,G486/F486)</f>
        <v>0.972823946435605</v>
      </c>
      <c r="N486" s="16" t="n">
        <f aca="false">K486*L486*M486</f>
        <v>0.643229166666667</v>
      </c>
      <c r="O486" s="19" t="n">
        <f aca="false">MONTH(A486)</f>
        <v>8</v>
      </c>
      <c r="P486" s="19" t="n">
        <f aca="false">INT((A486-DATE(2026,7,1))/7)+1</f>
        <v>8</v>
      </c>
    </row>
    <row r="487" customFormat="false" ht="15" hidden="false" customHeight="false" outlineLevel="0" collapsed="false">
      <c r="A487" s="25" t="n">
        <v>46257</v>
      </c>
      <c r="B487" s="26" t="s">
        <v>18</v>
      </c>
      <c r="C487" s="26" t="s">
        <v>74</v>
      </c>
      <c r="D487" s="26" t="n">
        <v>480</v>
      </c>
      <c r="E487" s="26" t="n">
        <v>8</v>
      </c>
      <c r="F487" s="26" t="n">
        <v>2944</v>
      </c>
      <c r="G487" s="26" t="n">
        <v>2880</v>
      </c>
      <c r="H487" s="19" t="n">
        <f aca="false">SUMIFS(Paradas!$E$2:$E$1973,Paradas!$A$2:$A$1973,A487,Paradas!$B$2:$B$1973,B487,Paradas!$C$2:$C$1973,C487)</f>
        <v>43</v>
      </c>
      <c r="I487" s="19" t="n">
        <f aca="false">D487-H487</f>
        <v>437</v>
      </c>
      <c r="J487" s="19" t="n">
        <f aca="false">I487*E487</f>
        <v>3496</v>
      </c>
      <c r="K487" s="16" t="n">
        <f aca="false">IF(D487=0,0,I487/D487)</f>
        <v>0.910416666666667</v>
      </c>
      <c r="L487" s="16" t="n">
        <f aca="false">IF(J487=0,0,F487/J487)</f>
        <v>0.842105263157895</v>
      </c>
      <c r="M487" s="16" t="n">
        <f aca="false">IF(F487=0,0,G487/F487)</f>
        <v>0.978260869565217</v>
      </c>
      <c r="N487" s="16" t="n">
        <f aca="false">K487*L487*M487</f>
        <v>0.75</v>
      </c>
      <c r="O487" s="19" t="n">
        <f aca="false">MONTH(A487)</f>
        <v>8</v>
      </c>
      <c r="P487" s="19" t="n">
        <f aca="false">INT((A487-DATE(2026,7,1))/7)+1</f>
        <v>8</v>
      </c>
    </row>
    <row r="488" customFormat="false" ht="15" hidden="false" customHeight="false" outlineLevel="0" collapsed="false">
      <c r="A488" s="25" t="n">
        <v>46258</v>
      </c>
      <c r="B488" s="26" t="s">
        <v>16</v>
      </c>
      <c r="C488" s="26" t="s">
        <v>72</v>
      </c>
      <c r="D488" s="26" t="n">
        <v>480</v>
      </c>
      <c r="E488" s="26" t="n">
        <v>12</v>
      </c>
      <c r="F488" s="26" t="n">
        <v>3919</v>
      </c>
      <c r="G488" s="26" t="n">
        <v>3874</v>
      </c>
      <c r="H488" s="19" t="n">
        <f aca="false">SUMIFS(Paradas!$E$2:$E$1973,Paradas!$A$2:$A$1973,A488,Paradas!$B$2:$B$1973,B488,Paradas!$C$2:$C$1973,C488)</f>
        <v>119</v>
      </c>
      <c r="I488" s="19" t="n">
        <f aca="false">D488-H488</f>
        <v>361</v>
      </c>
      <c r="J488" s="19" t="n">
        <f aca="false">I488*E488</f>
        <v>4332</v>
      </c>
      <c r="K488" s="16" t="n">
        <f aca="false">IF(D488=0,0,I488/D488)</f>
        <v>0.752083333333333</v>
      </c>
      <c r="L488" s="16" t="n">
        <f aca="false">IF(J488=0,0,F488/J488)</f>
        <v>0.90466297322253</v>
      </c>
      <c r="M488" s="16" t="n">
        <f aca="false">IF(F488=0,0,G488/F488)</f>
        <v>0.988517478948711</v>
      </c>
      <c r="N488" s="16" t="n">
        <f aca="false">K488*L488*M488</f>
        <v>0.672569444444444</v>
      </c>
      <c r="O488" s="19" t="n">
        <f aca="false">MONTH(A488)</f>
        <v>8</v>
      </c>
      <c r="P488" s="19" t="n">
        <f aca="false">INT((A488-DATE(2026,7,1))/7)+1</f>
        <v>8</v>
      </c>
    </row>
    <row r="489" customFormat="false" ht="15" hidden="false" customHeight="false" outlineLevel="0" collapsed="false">
      <c r="A489" s="25" t="n">
        <v>46258</v>
      </c>
      <c r="B489" s="26" t="s">
        <v>16</v>
      </c>
      <c r="C489" s="26" t="s">
        <v>73</v>
      </c>
      <c r="D489" s="26" t="n">
        <v>480</v>
      </c>
      <c r="E489" s="26" t="n">
        <v>12</v>
      </c>
      <c r="F489" s="26" t="n">
        <v>5409</v>
      </c>
      <c r="G489" s="26" t="n">
        <v>5324</v>
      </c>
      <c r="H489" s="19" t="n">
        <f aca="false">SUMIFS(Paradas!$E$2:$E$1973,Paradas!$A$2:$A$1973,A489,Paradas!$B$2:$B$1973,B489,Paradas!$C$2:$C$1973,C489)</f>
        <v>0</v>
      </c>
      <c r="I489" s="19" t="n">
        <f aca="false">D489-H489</f>
        <v>480</v>
      </c>
      <c r="J489" s="19" t="n">
        <f aca="false">I489*E489</f>
        <v>5760</v>
      </c>
      <c r="K489" s="16" t="n">
        <f aca="false">IF(D489=0,0,I489/D489)</f>
        <v>1</v>
      </c>
      <c r="L489" s="16" t="n">
        <f aca="false">IF(J489=0,0,F489/J489)</f>
        <v>0.9390625</v>
      </c>
      <c r="M489" s="16" t="n">
        <f aca="false">IF(F489=0,0,G489/F489)</f>
        <v>0.984285450175633</v>
      </c>
      <c r="N489" s="16" t="n">
        <f aca="false">K489*L489*M489</f>
        <v>0.924305555555556</v>
      </c>
      <c r="O489" s="19" t="n">
        <f aca="false">MONTH(A489)</f>
        <v>8</v>
      </c>
      <c r="P489" s="19" t="n">
        <f aca="false">INT((A489-DATE(2026,7,1))/7)+1</f>
        <v>8</v>
      </c>
    </row>
    <row r="490" customFormat="false" ht="15" hidden="false" customHeight="false" outlineLevel="0" collapsed="false">
      <c r="A490" s="25" t="n">
        <v>46258</v>
      </c>
      <c r="B490" s="26" t="s">
        <v>16</v>
      </c>
      <c r="C490" s="26" t="s">
        <v>74</v>
      </c>
      <c r="D490" s="26" t="n">
        <v>480</v>
      </c>
      <c r="E490" s="26" t="n">
        <v>12</v>
      </c>
      <c r="F490" s="26" t="n">
        <v>4685</v>
      </c>
      <c r="G490" s="26" t="n">
        <v>4607</v>
      </c>
      <c r="H490" s="19" t="n">
        <f aca="false">SUMIFS(Paradas!$E$2:$E$1973,Paradas!$A$2:$A$1973,A490,Paradas!$B$2:$B$1973,B490,Paradas!$C$2:$C$1973,C490)</f>
        <v>22</v>
      </c>
      <c r="I490" s="19" t="n">
        <f aca="false">D490-H490</f>
        <v>458</v>
      </c>
      <c r="J490" s="19" t="n">
        <f aca="false">I490*E490</f>
        <v>5496</v>
      </c>
      <c r="K490" s="16" t="n">
        <f aca="false">IF(D490=0,0,I490/D490)</f>
        <v>0.954166666666667</v>
      </c>
      <c r="L490" s="16" t="n">
        <f aca="false">IF(J490=0,0,F490/J490)</f>
        <v>0.852438136826783</v>
      </c>
      <c r="M490" s="16" t="n">
        <f aca="false">IF(F490=0,0,G490/F490)</f>
        <v>0.983351120597652</v>
      </c>
      <c r="N490" s="16" t="n">
        <f aca="false">K490*L490*M490</f>
        <v>0.799826388888889</v>
      </c>
      <c r="O490" s="19" t="n">
        <f aca="false">MONTH(A490)</f>
        <v>8</v>
      </c>
      <c r="P490" s="19" t="n">
        <f aca="false">INT((A490-DATE(2026,7,1))/7)+1</f>
        <v>8</v>
      </c>
    </row>
    <row r="491" customFormat="false" ht="15" hidden="false" customHeight="false" outlineLevel="0" collapsed="false">
      <c r="A491" s="25" t="n">
        <v>46258</v>
      </c>
      <c r="B491" s="26" t="s">
        <v>17</v>
      </c>
      <c r="C491" s="26" t="s">
        <v>72</v>
      </c>
      <c r="D491" s="26" t="n">
        <v>480</v>
      </c>
      <c r="E491" s="26" t="n">
        <v>10</v>
      </c>
      <c r="F491" s="26" t="n">
        <v>3686</v>
      </c>
      <c r="G491" s="26" t="n">
        <v>3492</v>
      </c>
      <c r="H491" s="19" t="n">
        <f aca="false">SUMIFS(Paradas!$E$2:$E$1973,Paradas!$A$2:$A$1973,A491,Paradas!$B$2:$B$1973,B491,Paradas!$C$2:$C$1973,C491)</f>
        <v>43</v>
      </c>
      <c r="I491" s="19" t="n">
        <f aca="false">D491-H491</f>
        <v>437</v>
      </c>
      <c r="J491" s="19" t="n">
        <f aca="false">I491*E491</f>
        <v>4370</v>
      </c>
      <c r="K491" s="16" t="n">
        <f aca="false">IF(D491=0,0,I491/D491)</f>
        <v>0.910416666666667</v>
      </c>
      <c r="L491" s="16" t="n">
        <f aca="false">IF(J491=0,0,F491/J491)</f>
        <v>0.843478260869565</v>
      </c>
      <c r="M491" s="16" t="n">
        <f aca="false">IF(F491=0,0,G491/F491)</f>
        <v>0.947368421052632</v>
      </c>
      <c r="N491" s="16" t="n">
        <f aca="false">K491*L491*M491</f>
        <v>0.7275</v>
      </c>
      <c r="O491" s="19" t="n">
        <f aca="false">MONTH(A491)</f>
        <v>8</v>
      </c>
      <c r="P491" s="19" t="n">
        <f aca="false">INT((A491-DATE(2026,7,1))/7)+1</f>
        <v>8</v>
      </c>
    </row>
    <row r="492" customFormat="false" ht="15" hidden="false" customHeight="false" outlineLevel="0" collapsed="false">
      <c r="A492" s="25" t="n">
        <v>46258</v>
      </c>
      <c r="B492" s="26" t="s">
        <v>17</v>
      </c>
      <c r="C492" s="26" t="s">
        <v>73</v>
      </c>
      <c r="D492" s="26" t="n">
        <v>480</v>
      </c>
      <c r="E492" s="26" t="n">
        <v>10</v>
      </c>
      <c r="F492" s="26" t="n">
        <v>3515</v>
      </c>
      <c r="G492" s="26" t="n">
        <v>3358</v>
      </c>
      <c r="H492" s="19" t="n">
        <f aca="false">SUMIFS(Paradas!$E$2:$E$1973,Paradas!$A$2:$A$1973,A492,Paradas!$B$2:$B$1973,B492,Paradas!$C$2:$C$1973,C492)</f>
        <v>63</v>
      </c>
      <c r="I492" s="19" t="n">
        <f aca="false">D492-H492</f>
        <v>417</v>
      </c>
      <c r="J492" s="19" t="n">
        <f aca="false">I492*E492</f>
        <v>4170</v>
      </c>
      <c r="K492" s="16" t="n">
        <f aca="false">IF(D492=0,0,I492/D492)</f>
        <v>0.86875</v>
      </c>
      <c r="L492" s="16" t="n">
        <f aca="false">IF(J492=0,0,F492/J492)</f>
        <v>0.842925659472422</v>
      </c>
      <c r="M492" s="16" t="n">
        <f aca="false">IF(F492=0,0,G492/F492)</f>
        <v>0.955334281650071</v>
      </c>
      <c r="N492" s="16" t="n">
        <f aca="false">K492*L492*M492</f>
        <v>0.699583333333333</v>
      </c>
      <c r="O492" s="19" t="n">
        <f aca="false">MONTH(A492)</f>
        <v>8</v>
      </c>
      <c r="P492" s="19" t="n">
        <f aca="false">INT((A492-DATE(2026,7,1))/7)+1</f>
        <v>8</v>
      </c>
    </row>
    <row r="493" customFormat="false" ht="15" hidden="false" customHeight="false" outlineLevel="0" collapsed="false">
      <c r="A493" s="25" t="n">
        <v>46258</v>
      </c>
      <c r="B493" s="26" t="s">
        <v>17</v>
      </c>
      <c r="C493" s="26" t="s">
        <v>74</v>
      </c>
      <c r="D493" s="26" t="n">
        <v>480</v>
      </c>
      <c r="E493" s="26" t="n">
        <v>10</v>
      </c>
      <c r="F493" s="26" t="n">
        <v>2438</v>
      </c>
      <c r="G493" s="26" t="n">
        <v>2343</v>
      </c>
      <c r="H493" s="19" t="n">
        <f aca="false">SUMIFS(Paradas!$E$2:$E$1973,Paradas!$A$2:$A$1973,A493,Paradas!$B$2:$B$1973,B493,Paradas!$C$2:$C$1973,C493)</f>
        <v>218</v>
      </c>
      <c r="I493" s="19" t="n">
        <f aca="false">D493-H493</f>
        <v>262</v>
      </c>
      <c r="J493" s="19" t="n">
        <f aca="false">I493*E493</f>
        <v>2620</v>
      </c>
      <c r="K493" s="16" t="n">
        <f aca="false">IF(D493=0,0,I493/D493)</f>
        <v>0.545833333333333</v>
      </c>
      <c r="L493" s="16" t="n">
        <f aca="false">IF(J493=0,0,F493/J493)</f>
        <v>0.930534351145038</v>
      </c>
      <c r="M493" s="16" t="n">
        <f aca="false">IF(F493=0,0,G493/F493)</f>
        <v>0.961033634126333</v>
      </c>
      <c r="N493" s="16" t="n">
        <f aca="false">K493*L493*M493</f>
        <v>0.488125</v>
      </c>
      <c r="O493" s="19" t="n">
        <f aca="false">MONTH(A493)</f>
        <v>8</v>
      </c>
      <c r="P493" s="19" t="n">
        <f aca="false">INT((A493-DATE(2026,7,1))/7)+1</f>
        <v>8</v>
      </c>
    </row>
    <row r="494" customFormat="false" ht="15" hidden="false" customHeight="false" outlineLevel="0" collapsed="false">
      <c r="A494" s="25" t="n">
        <v>46258</v>
      </c>
      <c r="B494" s="26" t="s">
        <v>18</v>
      </c>
      <c r="C494" s="26" t="s">
        <v>72</v>
      </c>
      <c r="D494" s="26" t="n">
        <v>480</v>
      </c>
      <c r="E494" s="26" t="n">
        <v>8</v>
      </c>
      <c r="F494" s="26" t="n">
        <v>2524</v>
      </c>
      <c r="G494" s="26" t="n">
        <v>2442</v>
      </c>
      <c r="H494" s="19" t="n">
        <f aca="false">SUMIFS(Paradas!$E$2:$E$1973,Paradas!$A$2:$A$1973,A494,Paradas!$B$2:$B$1973,B494,Paradas!$C$2:$C$1973,C494)</f>
        <v>112</v>
      </c>
      <c r="I494" s="19" t="n">
        <f aca="false">D494-H494</f>
        <v>368</v>
      </c>
      <c r="J494" s="19" t="n">
        <f aca="false">I494*E494</f>
        <v>2944</v>
      </c>
      <c r="K494" s="16" t="n">
        <f aca="false">IF(D494=0,0,I494/D494)</f>
        <v>0.766666666666667</v>
      </c>
      <c r="L494" s="16" t="n">
        <f aca="false">IF(J494=0,0,F494/J494)</f>
        <v>0.857336956521739</v>
      </c>
      <c r="M494" s="16" t="n">
        <f aca="false">IF(F494=0,0,G494/F494)</f>
        <v>0.967511885895404</v>
      </c>
      <c r="N494" s="16" t="n">
        <f aca="false">K494*L494*M494</f>
        <v>0.6359375</v>
      </c>
      <c r="O494" s="19" t="n">
        <f aca="false">MONTH(A494)</f>
        <v>8</v>
      </c>
      <c r="P494" s="19" t="n">
        <f aca="false">INT((A494-DATE(2026,7,1))/7)+1</f>
        <v>8</v>
      </c>
    </row>
    <row r="495" customFormat="false" ht="15" hidden="false" customHeight="false" outlineLevel="0" collapsed="false">
      <c r="A495" s="25" t="n">
        <v>46258</v>
      </c>
      <c r="B495" s="26" t="s">
        <v>18</v>
      </c>
      <c r="C495" s="26" t="s">
        <v>73</v>
      </c>
      <c r="D495" s="26" t="n">
        <v>480</v>
      </c>
      <c r="E495" s="26" t="n">
        <v>8</v>
      </c>
      <c r="F495" s="26" t="n">
        <v>2644</v>
      </c>
      <c r="G495" s="26" t="n">
        <v>2545</v>
      </c>
      <c r="H495" s="19" t="n">
        <f aca="false">SUMIFS(Paradas!$E$2:$E$1973,Paradas!$A$2:$A$1973,A495,Paradas!$B$2:$B$1973,B495,Paradas!$C$2:$C$1973,C495)</f>
        <v>121</v>
      </c>
      <c r="I495" s="19" t="n">
        <f aca="false">D495-H495</f>
        <v>359</v>
      </c>
      <c r="J495" s="19" t="n">
        <f aca="false">I495*E495</f>
        <v>2872</v>
      </c>
      <c r="K495" s="16" t="n">
        <f aca="false">IF(D495=0,0,I495/D495)</f>
        <v>0.747916666666667</v>
      </c>
      <c r="L495" s="16" t="n">
        <f aca="false">IF(J495=0,0,F495/J495)</f>
        <v>0.920612813370474</v>
      </c>
      <c r="M495" s="16" t="n">
        <f aca="false">IF(F495=0,0,G495/F495)</f>
        <v>0.962556732223903</v>
      </c>
      <c r="N495" s="16" t="n">
        <f aca="false">K495*L495*M495</f>
        <v>0.662760416666667</v>
      </c>
      <c r="O495" s="19" t="n">
        <f aca="false">MONTH(A495)</f>
        <v>8</v>
      </c>
      <c r="P495" s="19" t="n">
        <f aca="false">INT((A495-DATE(2026,7,1))/7)+1</f>
        <v>8</v>
      </c>
    </row>
    <row r="496" customFormat="false" ht="15" hidden="false" customHeight="false" outlineLevel="0" collapsed="false">
      <c r="A496" s="25" t="n">
        <v>46258</v>
      </c>
      <c r="B496" s="26" t="s">
        <v>18</v>
      </c>
      <c r="C496" s="26" t="s">
        <v>74</v>
      </c>
      <c r="D496" s="26" t="n">
        <v>480</v>
      </c>
      <c r="E496" s="26" t="n">
        <v>8</v>
      </c>
      <c r="F496" s="26" t="n">
        <v>3031</v>
      </c>
      <c r="G496" s="26" t="n">
        <v>3001</v>
      </c>
      <c r="H496" s="19" t="n">
        <f aca="false">SUMIFS(Paradas!$E$2:$E$1973,Paradas!$A$2:$A$1973,A496,Paradas!$B$2:$B$1973,B496,Paradas!$C$2:$C$1973,C496)</f>
        <v>37</v>
      </c>
      <c r="I496" s="19" t="n">
        <f aca="false">D496-H496</f>
        <v>443</v>
      </c>
      <c r="J496" s="19" t="n">
        <f aca="false">I496*E496</f>
        <v>3544</v>
      </c>
      <c r="K496" s="16" t="n">
        <f aca="false">IF(D496=0,0,I496/D496)</f>
        <v>0.922916666666667</v>
      </c>
      <c r="L496" s="16" t="n">
        <f aca="false">IF(J496=0,0,F496/J496)</f>
        <v>0.855248306997743</v>
      </c>
      <c r="M496" s="16" t="n">
        <f aca="false">IF(F496=0,0,G496/F496)</f>
        <v>0.990102276476411</v>
      </c>
      <c r="N496" s="16" t="n">
        <f aca="false">K496*L496*M496</f>
        <v>0.781510416666667</v>
      </c>
      <c r="O496" s="19" t="n">
        <f aca="false">MONTH(A496)</f>
        <v>8</v>
      </c>
      <c r="P496" s="19" t="n">
        <f aca="false">INT((A496-DATE(2026,7,1))/7)+1</f>
        <v>8</v>
      </c>
    </row>
    <row r="497" customFormat="false" ht="15" hidden="false" customHeight="false" outlineLevel="0" collapsed="false">
      <c r="A497" s="25" t="n">
        <v>46259</v>
      </c>
      <c r="B497" s="26" t="s">
        <v>16</v>
      </c>
      <c r="C497" s="26" t="s">
        <v>72</v>
      </c>
      <c r="D497" s="26" t="n">
        <v>480</v>
      </c>
      <c r="E497" s="26" t="n">
        <v>12</v>
      </c>
      <c r="F497" s="26" t="n">
        <v>3410</v>
      </c>
      <c r="G497" s="26" t="n">
        <v>3322</v>
      </c>
      <c r="H497" s="19" t="n">
        <f aca="false">SUMIFS(Paradas!$E$2:$E$1973,Paradas!$A$2:$A$1973,A497,Paradas!$B$2:$B$1973,B497,Paradas!$C$2:$C$1973,C497)</f>
        <v>152</v>
      </c>
      <c r="I497" s="19" t="n">
        <f aca="false">D497-H497</f>
        <v>328</v>
      </c>
      <c r="J497" s="19" t="n">
        <f aca="false">I497*E497</f>
        <v>3936</v>
      </c>
      <c r="K497" s="16" t="n">
        <f aca="false">IF(D497=0,0,I497/D497)</f>
        <v>0.683333333333333</v>
      </c>
      <c r="L497" s="16" t="n">
        <f aca="false">IF(J497=0,0,F497/J497)</f>
        <v>0.866361788617886</v>
      </c>
      <c r="M497" s="16" t="n">
        <f aca="false">IF(F497=0,0,G497/F497)</f>
        <v>0.974193548387097</v>
      </c>
      <c r="N497" s="16" t="n">
        <f aca="false">K497*L497*M497</f>
        <v>0.576736111111111</v>
      </c>
      <c r="O497" s="19" t="n">
        <f aca="false">MONTH(A497)</f>
        <v>8</v>
      </c>
      <c r="P497" s="19" t="n">
        <f aca="false">INT((A497-DATE(2026,7,1))/7)+1</f>
        <v>8</v>
      </c>
    </row>
    <row r="498" customFormat="false" ht="15" hidden="false" customHeight="false" outlineLevel="0" collapsed="false">
      <c r="A498" s="25" t="n">
        <v>46259</v>
      </c>
      <c r="B498" s="26" t="s">
        <v>16</v>
      </c>
      <c r="C498" s="26" t="s">
        <v>73</v>
      </c>
      <c r="D498" s="26" t="n">
        <v>480</v>
      </c>
      <c r="E498" s="26" t="n">
        <v>12</v>
      </c>
      <c r="F498" s="26" t="n">
        <v>4718</v>
      </c>
      <c r="G498" s="26" t="n">
        <v>4685</v>
      </c>
      <c r="H498" s="19" t="n">
        <f aca="false">SUMIFS(Paradas!$E$2:$E$1973,Paradas!$A$2:$A$1973,A498,Paradas!$B$2:$B$1973,B498,Paradas!$C$2:$C$1973,C498)</f>
        <v>19</v>
      </c>
      <c r="I498" s="19" t="n">
        <f aca="false">D498-H498</f>
        <v>461</v>
      </c>
      <c r="J498" s="19" t="n">
        <f aca="false">I498*E498</f>
        <v>5532</v>
      </c>
      <c r="K498" s="16" t="n">
        <f aca="false">IF(D498=0,0,I498/D498)</f>
        <v>0.960416666666667</v>
      </c>
      <c r="L498" s="16" t="n">
        <f aca="false">IF(J498=0,0,F498/J498)</f>
        <v>0.852856109906002</v>
      </c>
      <c r="M498" s="16" t="n">
        <f aca="false">IF(F498=0,0,G498/F498)</f>
        <v>0.993005510809665</v>
      </c>
      <c r="N498" s="16" t="n">
        <f aca="false">K498*L498*M498</f>
        <v>0.813368055555556</v>
      </c>
      <c r="O498" s="19" t="n">
        <f aca="false">MONTH(A498)</f>
        <v>8</v>
      </c>
      <c r="P498" s="19" t="n">
        <f aca="false">INT((A498-DATE(2026,7,1))/7)+1</f>
        <v>8</v>
      </c>
    </row>
    <row r="499" customFormat="false" ht="15" hidden="false" customHeight="false" outlineLevel="0" collapsed="false">
      <c r="A499" s="25" t="n">
        <v>46259</v>
      </c>
      <c r="B499" s="26" t="s">
        <v>16</v>
      </c>
      <c r="C499" s="26" t="s">
        <v>74</v>
      </c>
      <c r="D499" s="26" t="n">
        <v>480</v>
      </c>
      <c r="E499" s="26" t="n">
        <v>12</v>
      </c>
      <c r="F499" s="26" t="n">
        <v>2698</v>
      </c>
      <c r="G499" s="26" t="n">
        <v>2646</v>
      </c>
      <c r="H499" s="19" t="n">
        <f aca="false">SUMIFS(Paradas!$E$2:$E$1973,Paradas!$A$2:$A$1973,A499,Paradas!$B$2:$B$1973,B499,Paradas!$C$2:$C$1973,C499)</f>
        <v>202</v>
      </c>
      <c r="I499" s="19" t="n">
        <f aca="false">D499-H499</f>
        <v>278</v>
      </c>
      <c r="J499" s="19" t="n">
        <f aca="false">I499*E499</f>
        <v>3336</v>
      </c>
      <c r="K499" s="16" t="n">
        <f aca="false">IF(D499=0,0,I499/D499)</f>
        <v>0.579166666666667</v>
      </c>
      <c r="L499" s="16" t="n">
        <f aca="false">IF(J499=0,0,F499/J499)</f>
        <v>0.808752997601918</v>
      </c>
      <c r="M499" s="16" t="n">
        <f aca="false">IF(F499=0,0,G499/F499)</f>
        <v>0.980726464047443</v>
      </c>
      <c r="N499" s="16" t="n">
        <f aca="false">K499*L499*M499</f>
        <v>0.459375</v>
      </c>
      <c r="O499" s="19" t="n">
        <f aca="false">MONTH(A499)</f>
        <v>8</v>
      </c>
      <c r="P499" s="19" t="n">
        <f aca="false">INT((A499-DATE(2026,7,1))/7)+1</f>
        <v>8</v>
      </c>
    </row>
    <row r="500" customFormat="false" ht="15" hidden="false" customHeight="false" outlineLevel="0" collapsed="false">
      <c r="A500" s="25" t="n">
        <v>46259</v>
      </c>
      <c r="B500" s="26" t="s">
        <v>17</v>
      </c>
      <c r="C500" s="26" t="s">
        <v>72</v>
      </c>
      <c r="D500" s="26" t="n">
        <v>480</v>
      </c>
      <c r="E500" s="26" t="n">
        <v>10</v>
      </c>
      <c r="F500" s="26" t="n">
        <v>3347</v>
      </c>
      <c r="G500" s="26" t="n">
        <v>3243</v>
      </c>
      <c r="H500" s="19" t="n">
        <f aca="false">SUMIFS(Paradas!$E$2:$E$1973,Paradas!$A$2:$A$1973,A500,Paradas!$B$2:$B$1973,B500,Paradas!$C$2:$C$1973,C500)</f>
        <v>75</v>
      </c>
      <c r="I500" s="19" t="n">
        <f aca="false">D500-H500</f>
        <v>405</v>
      </c>
      <c r="J500" s="19" t="n">
        <f aca="false">I500*E500</f>
        <v>4050</v>
      </c>
      <c r="K500" s="16" t="n">
        <f aca="false">IF(D500=0,0,I500/D500)</f>
        <v>0.84375</v>
      </c>
      <c r="L500" s="16" t="n">
        <f aca="false">IF(J500=0,0,F500/J500)</f>
        <v>0.82641975308642</v>
      </c>
      <c r="M500" s="16" t="n">
        <f aca="false">IF(F500=0,0,G500/F500)</f>
        <v>0.968927397669555</v>
      </c>
      <c r="N500" s="16" t="n">
        <f aca="false">K500*L500*M500</f>
        <v>0.675625</v>
      </c>
      <c r="O500" s="19" t="n">
        <f aca="false">MONTH(A500)</f>
        <v>8</v>
      </c>
      <c r="P500" s="19" t="n">
        <f aca="false">INT((A500-DATE(2026,7,1))/7)+1</f>
        <v>8</v>
      </c>
    </row>
    <row r="501" customFormat="false" ht="15" hidden="false" customHeight="false" outlineLevel="0" collapsed="false">
      <c r="A501" s="25" t="n">
        <v>46259</v>
      </c>
      <c r="B501" s="26" t="s">
        <v>17</v>
      </c>
      <c r="C501" s="26" t="s">
        <v>73</v>
      </c>
      <c r="D501" s="26" t="n">
        <v>480</v>
      </c>
      <c r="E501" s="26" t="n">
        <v>10</v>
      </c>
      <c r="F501" s="26" t="n">
        <v>2281</v>
      </c>
      <c r="G501" s="26" t="n">
        <v>2162</v>
      </c>
      <c r="H501" s="19" t="n">
        <f aca="false">SUMIFS(Paradas!$E$2:$E$1973,Paradas!$A$2:$A$1973,A501,Paradas!$B$2:$B$1973,B501,Paradas!$C$2:$C$1973,C501)</f>
        <v>211</v>
      </c>
      <c r="I501" s="19" t="n">
        <f aca="false">D501-H501</f>
        <v>269</v>
      </c>
      <c r="J501" s="19" t="n">
        <f aca="false">I501*E501</f>
        <v>2690</v>
      </c>
      <c r="K501" s="16" t="n">
        <f aca="false">IF(D501=0,0,I501/D501)</f>
        <v>0.560416666666667</v>
      </c>
      <c r="L501" s="16" t="n">
        <f aca="false">IF(J501=0,0,F501/J501)</f>
        <v>0.847955390334573</v>
      </c>
      <c r="M501" s="16" t="n">
        <f aca="false">IF(F501=0,0,G501/F501)</f>
        <v>0.947829899167032</v>
      </c>
      <c r="N501" s="16" t="n">
        <f aca="false">K501*L501*M501</f>
        <v>0.450416666666667</v>
      </c>
      <c r="O501" s="19" t="n">
        <f aca="false">MONTH(A501)</f>
        <v>8</v>
      </c>
      <c r="P501" s="19" t="n">
        <f aca="false">INT((A501-DATE(2026,7,1))/7)+1</f>
        <v>8</v>
      </c>
    </row>
    <row r="502" customFormat="false" ht="15" hidden="false" customHeight="false" outlineLevel="0" collapsed="false">
      <c r="A502" s="25" t="n">
        <v>46259</v>
      </c>
      <c r="B502" s="26" t="s">
        <v>17</v>
      </c>
      <c r="C502" s="26" t="s">
        <v>74</v>
      </c>
      <c r="D502" s="26" t="n">
        <v>480</v>
      </c>
      <c r="E502" s="26" t="n">
        <v>10</v>
      </c>
      <c r="F502" s="26" t="n">
        <v>3124</v>
      </c>
      <c r="G502" s="26" t="n">
        <v>3005</v>
      </c>
      <c r="H502" s="19" t="n">
        <f aca="false">SUMIFS(Paradas!$E$2:$E$1973,Paradas!$A$2:$A$1973,A502,Paradas!$B$2:$B$1973,B502,Paradas!$C$2:$C$1973,C502)</f>
        <v>125</v>
      </c>
      <c r="I502" s="19" t="n">
        <f aca="false">D502-H502</f>
        <v>355</v>
      </c>
      <c r="J502" s="19" t="n">
        <f aca="false">I502*E502</f>
        <v>3550</v>
      </c>
      <c r="K502" s="16" t="n">
        <f aca="false">IF(D502=0,0,I502/D502)</f>
        <v>0.739583333333333</v>
      </c>
      <c r="L502" s="16" t="n">
        <f aca="false">IF(J502=0,0,F502/J502)</f>
        <v>0.88</v>
      </c>
      <c r="M502" s="16" t="n">
        <f aca="false">IF(F502=0,0,G502/F502)</f>
        <v>0.96190781049936</v>
      </c>
      <c r="N502" s="16" t="n">
        <f aca="false">K502*L502*M502</f>
        <v>0.626041666666667</v>
      </c>
      <c r="O502" s="19" t="n">
        <f aca="false">MONTH(A502)</f>
        <v>8</v>
      </c>
      <c r="P502" s="19" t="n">
        <f aca="false">INT((A502-DATE(2026,7,1))/7)+1</f>
        <v>8</v>
      </c>
    </row>
    <row r="503" customFormat="false" ht="15" hidden="false" customHeight="false" outlineLevel="0" collapsed="false">
      <c r="A503" s="25" t="n">
        <v>46259</v>
      </c>
      <c r="B503" s="26" t="s">
        <v>18</v>
      </c>
      <c r="C503" s="26" t="s">
        <v>72</v>
      </c>
      <c r="D503" s="26" t="n">
        <v>480</v>
      </c>
      <c r="E503" s="26" t="n">
        <v>8</v>
      </c>
      <c r="F503" s="26" t="n">
        <v>2345</v>
      </c>
      <c r="G503" s="26" t="n">
        <v>2263</v>
      </c>
      <c r="H503" s="19" t="n">
        <f aca="false">SUMIFS(Paradas!$E$2:$E$1973,Paradas!$A$2:$A$1973,A503,Paradas!$B$2:$B$1973,B503,Paradas!$C$2:$C$1973,C503)</f>
        <v>155</v>
      </c>
      <c r="I503" s="19" t="n">
        <f aca="false">D503-H503</f>
        <v>325</v>
      </c>
      <c r="J503" s="19" t="n">
        <f aca="false">I503*E503</f>
        <v>2600</v>
      </c>
      <c r="K503" s="16" t="n">
        <f aca="false">IF(D503=0,0,I503/D503)</f>
        <v>0.677083333333333</v>
      </c>
      <c r="L503" s="16" t="n">
        <f aca="false">IF(J503=0,0,F503/J503)</f>
        <v>0.901923076923077</v>
      </c>
      <c r="M503" s="16" t="n">
        <f aca="false">IF(F503=0,0,G503/F503)</f>
        <v>0.965031982942431</v>
      </c>
      <c r="N503" s="16" t="n">
        <f aca="false">K503*L503*M503</f>
        <v>0.589322916666667</v>
      </c>
      <c r="O503" s="19" t="n">
        <f aca="false">MONTH(A503)</f>
        <v>8</v>
      </c>
      <c r="P503" s="19" t="n">
        <f aca="false">INT((A503-DATE(2026,7,1))/7)+1</f>
        <v>8</v>
      </c>
    </row>
    <row r="504" customFormat="false" ht="15" hidden="false" customHeight="false" outlineLevel="0" collapsed="false">
      <c r="A504" s="25" t="n">
        <v>46259</v>
      </c>
      <c r="B504" s="26" t="s">
        <v>18</v>
      </c>
      <c r="C504" s="26" t="s">
        <v>73</v>
      </c>
      <c r="D504" s="26" t="n">
        <v>480</v>
      </c>
      <c r="E504" s="26" t="n">
        <v>8</v>
      </c>
      <c r="F504" s="26" t="n">
        <v>2463</v>
      </c>
      <c r="G504" s="26" t="n">
        <v>2419</v>
      </c>
      <c r="H504" s="19" t="n">
        <f aca="false">SUMIFS(Paradas!$E$2:$E$1973,Paradas!$A$2:$A$1973,A504,Paradas!$B$2:$B$1973,B504,Paradas!$C$2:$C$1973,C504)</f>
        <v>142</v>
      </c>
      <c r="I504" s="19" t="n">
        <f aca="false">D504-H504</f>
        <v>338</v>
      </c>
      <c r="J504" s="19" t="n">
        <f aca="false">I504*E504</f>
        <v>2704</v>
      </c>
      <c r="K504" s="16" t="n">
        <f aca="false">IF(D504=0,0,I504/D504)</f>
        <v>0.704166666666667</v>
      </c>
      <c r="L504" s="16" t="n">
        <f aca="false">IF(J504=0,0,F504/J504)</f>
        <v>0.910872781065089</v>
      </c>
      <c r="M504" s="16" t="n">
        <f aca="false">IF(F504=0,0,G504/F504)</f>
        <v>0.982135606983354</v>
      </c>
      <c r="N504" s="16" t="n">
        <f aca="false">K504*L504*M504</f>
        <v>0.629947916666667</v>
      </c>
      <c r="O504" s="19" t="n">
        <f aca="false">MONTH(A504)</f>
        <v>8</v>
      </c>
      <c r="P504" s="19" t="n">
        <f aca="false">INT((A504-DATE(2026,7,1))/7)+1</f>
        <v>8</v>
      </c>
    </row>
    <row r="505" customFormat="false" ht="15" hidden="false" customHeight="false" outlineLevel="0" collapsed="false">
      <c r="A505" s="25" t="n">
        <v>46259</v>
      </c>
      <c r="B505" s="26" t="s">
        <v>18</v>
      </c>
      <c r="C505" s="26" t="s">
        <v>74</v>
      </c>
      <c r="D505" s="26" t="n">
        <v>480</v>
      </c>
      <c r="E505" s="26" t="n">
        <v>8</v>
      </c>
      <c r="F505" s="26" t="n">
        <v>2516</v>
      </c>
      <c r="G505" s="26" t="n">
        <v>2490</v>
      </c>
      <c r="H505" s="19" t="n">
        <f aca="false">SUMIFS(Paradas!$E$2:$E$1973,Paradas!$A$2:$A$1973,A505,Paradas!$B$2:$B$1973,B505,Paradas!$C$2:$C$1973,C505)</f>
        <v>88</v>
      </c>
      <c r="I505" s="19" t="n">
        <f aca="false">D505-H505</f>
        <v>392</v>
      </c>
      <c r="J505" s="19" t="n">
        <f aca="false">I505*E505</f>
        <v>3136</v>
      </c>
      <c r="K505" s="16" t="n">
        <f aca="false">IF(D505=0,0,I505/D505)</f>
        <v>0.816666666666667</v>
      </c>
      <c r="L505" s="16" t="n">
        <f aca="false">IF(J505=0,0,F505/J505)</f>
        <v>0.802295918367347</v>
      </c>
      <c r="M505" s="16" t="n">
        <f aca="false">IF(F505=0,0,G505/F505)</f>
        <v>0.98966613672496</v>
      </c>
      <c r="N505" s="16" t="n">
        <f aca="false">K505*L505*M505</f>
        <v>0.6484375</v>
      </c>
      <c r="O505" s="19" t="n">
        <f aca="false">MONTH(A505)</f>
        <v>8</v>
      </c>
      <c r="P505" s="19" t="n">
        <f aca="false">INT((A505-DATE(2026,7,1))/7)+1</f>
        <v>8</v>
      </c>
    </row>
    <row r="506" customFormat="false" ht="15" hidden="false" customHeight="false" outlineLevel="0" collapsed="false">
      <c r="A506" s="25" t="n">
        <v>46260</v>
      </c>
      <c r="B506" s="26" t="s">
        <v>16</v>
      </c>
      <c r="C506" s="26" t="s">
        <v>72</v>
      </c>
      <c r="D506" s="26" t="n">
        <v>480</v>
      </c>
      <c r="E506" s="26" t="n">
        <v>12</v>
      </c>
      <c r="F506" s="26" t="n">
        <v>4210</v>
      </c>
      <c r="G506" s="26" t="n">
        <v>4130</v>
      </c>
      <c r="H506" s="19" t="n">
        <f aca="false">SUMIFS(Paradas!$E$2:$E$1973,Paradas!$A$2:$A$1973,A506,Paradas!$B$2:$B$1973,B506,Paradas!$C$2:$C$1973,C506)</f>
        <v>107</v>
      </c>
      <c r="I506" s="19" t="n">
        <f aca="false">D506-H506</f>
        <v>373</v>
      </c>
      <c r="J506" s="19" t="n">
        <f aca="false">I506*E506</f>
        <v>4476</v>
      </c>
      <c r="K506" s="16" t="n">
        <f aca="false">IF(D506=0,0,I506/D506)</f>
        <v>0.777083333333333</v>
      </c>
      <c r="L506" s="16" t="n">
        <f aca="false">IF(J506=0,0,F506/J506)</f>
        <v>0.940571939231457</v>
      </c>
      <c r="M506" s="16" t="n">
        <f aca="false">IF(F506=0,0,G506/F506)</f>
        <v>0.980997624703088</v>
      </c>
      <c r="N506" s="16" t="n">
        <f aca="false">K506*L506*M506</f>
        <v>0.717013888888889</v>
      </c>
      <c r="O506" s="19" t="n">
        <f aca="false">MONTH(A506)</f>
        <v>8</v>
      </c>
      <c r="P506" s="19" t="n">
        <f aca="false">INT((A506-DATE(2026,7,1))/7)+1</f>
        <v>9</v>
      </c>
    </row>
    <row r="507" customFormat="false" ht="15" hidden="false" customHeight="false" outlineLevel="0" collapsed="false">
      <c r="A507" s="25" t="n">
        <v>46260</v>
      </c>
      <c r="B507" s="26" t="s">
        <v>16</v>
      </c>
      <c r="C507" s="26" t="s">
        <v>73</v>
      </c>
      <c r="D507" s="26" t="n">
        <v>480</v>
      </c>
      <c r="E507" s="26" t="n">
        <v>12</v>
      </c>
      <c r="F507" s="26" t="n">
        <v>3316</v>
      </c>
      <c r="G507" s="26" t="n">
        <v>3299</v>
      </c>
      <c r="H507" s="19" t="n">
        <f aca="false">SUMIFS(Paradas!$E$2:$E$1973,Paradas!$A$2:$A$1973,A507,Paradas!$B$2:$B$1973,B507,Paradas!$C$2:$C$1973,C507)</f>
        <v>171</v>
      </c>
      <c r="I507" s="19" t="n">
        <f aca="false">D507-H507</f>
        <v>309</v>
      </c>
      <c r="J507" s="19" t="n">
        <f aca="false">I507*E507</f>
        <v>3708</v>
      </c>
      <c r="K507" s="16" t="n">
        <f aca="false">IF(D507=0,0,I507/D507)</f>
        <v>0.64375</v>
      </c>
      <c r="L507" s="16" t="n">
        <f aca="false">IF(J507=0,0,F507/J507)</f>
        <v>0.89428263214671</v>
      </c>
      <c r="M507" s="16" t="n">
        <f aca="false">IF(F507=0,0,G507/F507)</f>
        <v>0.994873341375151</v>
      </c>
      <c r="N507" s="16" t="n">
        <f aca="false">K507*L507*M507</f>
        <v>0.572743055555556</v>
      </c>
      <c r="O507" s="19" t="n">
        <f aca="false">MONTH(A507)</f>
        <v>8</v>
      </c>
      <c r="P507" s="19" t="n">
        <f aca="false">INT((A507-DATE(2026,7,1))/7)+1</f>
        <v>9</v>
      </c>
    </row>
    <row r="508" customFormat="false" ht="15" hidden="false" customHeight="false" outlineLevel="0" collapsed="false">
      <c r="A508" s="25" t="n">
        <v>46260</v>
      </c>
      <c r="B508" s="26" t="s">
        <v>16</v>
      </c>
      <c r="C508" s="26" t="s">
        <v>74</v>
      </c>
      <c r="D508" s="26" t="n">
        <v>480</v>
      </c>
      <c r="E508" s="26" t="n">
        <v>12</v>
      </c>
      <c r="F508" s="26" t="n">
        <v>3744</v>
      </c>
      <c r="G508" s="26" t="n">
        <v>3545</v>
      </c>
      <c r="H508" s="19" t="n">
        <f aca="false">SUMIFS(Paradas!$E$2:$E$1973,Paradas!$A$2:$A$1973,A508,Paradas!$B$2:$B$1973,B508,Paradas!$C$2:$C$1973,C508)</f>
        <v>125</v>
      </c>
      <c r="I508" s="19" t="n">
        <f aca="false">D508-H508</f>
        <v>355</v>
      </c>
      <c r="J508" s="19" t="n">
        <f aca="false">I508*E508</f>
        <v>4260</v>
      </c>
      <c r="K508" s="16" t="n">
        <f aca="false">IF(D508=0,0,I508/D508)</f>
        <v>0.739583333333333</v>
      </c>
      <c r="L508" s="16" t="n">
        <f aca="false">IF(J508=0,0,F508/J508)</f>
        <v>0.87887323943662</v>
      </c>
      <c r="M508" s="16" t="n">
        <f aca="false">IF(F508=0,0,G508/F508)</f>
        <v>0.946848290598291</v>
      </c>
      <c r="N508" s="16" t="n">
        <f aca="false">K508*L508*M508</f>
        <v>0.615451388888889</v>
      </c>
      <c r="O508" s="19" t="n">
        <f aca="false">MONTH(A508)</f>
        <v>8</v>
      </c>
      <c r="P508" s="19" t="n">
        <f aca="false">INT((A508-DATE(2026,7,1))/7)+1</f>
        <v>9</v>
      </c>
    </row>
    <row r="509" customFormat="false" ht="15" hidden="false" customHeight="false" outlineLevel="0" collapsed="false">
      <c r="A509" s="25" t="n">
        <v>46260</v>
      </c>
      <c r="B509" s="26" t="s">
        <v>17</v>
      </c>
      <c r="C509" s="26" t="s">
        <v>72</v>
      </c>
      <c r="D509" s="26" t="n">
        <v>480</v>
      </c>
      <c r="E509" s="26" t="n">
        <v>10</v>
      </c>
      <c r="F509" s="26" t="n">
        <v>2904</v>
      </c>
      <c r="G509" s="26" t="n">
        <v>2746</v>
      </c>
      <c r="H509" s="19" t="n">
        <f aca="false">SUMIFS(Paradas!$E$2:$E$1973,Paradas!$A$2:$A$1973,A509,Paradas!$B$2:$B$1973,B509,Paradas!$C$2:$C$1973,C509)</f>
        <v>133</v>
      </c>
      <c r="I509" s="19" t="n">
        <f aca="false">D509-H509</f>
        <v>347</v>
      </c>
      <c r="J509" s="19" t="n">
        <f aca="false">I509*E509</f>
        <v>3470</v>
      </c>
      <c r="K509" s="16" t="n">
        <f aca="false">IF(D509=0,0,I509/D509)</f>
        <v>0.722916666666667</v>
      </c>
      <c r="L509" s="16" t="n">
        <f aca="false">IF(J509=0,0,F509/J509)</f>
        <v>0.836887608069164</v>
      </c>
      <c r="M509" s="16" t="n">
        <f aca="false">IF(F509=0,0,G509/F509)</f>
        <v>0.945592286501377</v>
      </c>
      <c r="N509" s="16" t="n">
        <f aca="false">K509*L509*M509</f>
        <v>0.572083333333333</v>
      </c>
      <c r="O509" s="19" t="n">
        <f aca="false">MONTH(A509)</f>
        <v>8</v>
      </c>
      <c r="P509" s="19" t="n">
        <f aca="false">INT((A509-DATE(2026,7,1))/7)+1</f>
        <v>9</v>
      </c>
    </row>
    <row r="510" customFormat="false" ht="15" hidden="false" customHeight="false" outlineLevel="0" collapsed="false">
      <c r="A510" s="25" t="n">
        <v>46260</v>
      </c>
      <c r="B510" s="26" t="s">
        <v>17</v>
      </c>
      <c r="C510" s="26" t="s">
        <v>73</v>
      </c>
      <c r="D510" s="26" t="n">
        <v>480</v>
      </c>
      <c r="E510" s="26" t="n">
        <v>10</v>
      </c>
      <c r="F510" s="26" t="n">
        <v>3294</v>
      </c>
      <c r="G510" s="26" t="n">
        <v>3213</v>
      </c>
      <c r="H510" s="19" t="n">
        <f aca="false">SUMIFS(Paradas!$E$2:$E$1973,Paradas!$A$2:$A$1973,A510,Paradas!$B$2:$B$1973,B510,Paradas!$C$2:$C$1973,C510)</f>
        <v>117</v>
      </c>
      <c r="I510" s="19" t="n">
        <f aca="false">D510-H510</f>
        <v>363</v>
      </c>
      <c r="J510" s="19" t="n">
        <f aca="false">I510*E510</f>
        <v>3630</v>
      </c>
      <c r="K510" s="16" t="n">
        <f aca="false">IF(D510=0,0,I510/D510)</f>
        <v>0.75625</v>
      </c>
      <c r="L510" s="16" t="n">
        <f aca="false">IF(J510=0,0,F510/J510)</f>
        <v>0.907438016528926</v>
      </c>
      <c r="M510" s="16" t="n">
        <f aca="false">IF(F510=0,0,G510/F510)</f>
        <v>0.975409836065574</v>
      </c>
      <c r="N510" s="16" t="n">
        <f aca="false">K510*L510*M510</f>
        <v>0.669375</v>
      </c>
      <c r="O510" s="19" t="n">
        <f aca="false">MONTH(A510)</f>
        <v>8</v>
      </c>
      <c r="P510" s="19" t="n">
        <f aca="false">INT((A510-DATE(2026,7,1))/7)+1</f>
        <v>9</v>
      </c>
    </row>
    <row r="511" customFormat="false" ht="15" hidden="false" customHeight="false" outlineLevel="0" collapsed="false">
      <c r="A511" s="25" t="n">
        <v>46260</v>
      </c>
      <c r="B511" s="26" t="s">
        <v>17</v>
      </c>
      <c r="C511" s="26" t="s">
        <v>74</v>
      </c>
      <c r="D511" s="26" t="n">
        <v>480</v>
      </c>
      <c r="E511" s="26" t="n">
        <v>10</v>
      </c>
      <c r="F511" s="26" t="n">
        <v>3932</v>
      </c>
      <c r="G511" s="26" t="n">
        <v>3761</v>
      </c>
      <c r="H511" s="19" t="n">
        <f aca="false">SUMIFS(Paradas!$E$2:$E$1973,Paradas!$A$2:$A$1973,A511,Paradas!$B$2:$B$1973,B511,Paradas!$C$2:$C$1973,C511)</f>
        <v>21</v>
      </c>
      <c r="I511" s="19" t="n">
        <f aca="false">D511-H511</f>
        <v>459</v>
      </c>
      <c r="J511" s="19" t="n">
        <f aca="false">I511*E511</f>
        <v>4590</v>
      </c>
      <c r="K511" s="16" t="n">
        <f aca="false">IF(D511=0,0,I511/D511)</f>
        <v>0.95625</v>
      </c>
      <c r="L511" s="16" t="n">
        <f aca="false">IF(J511=0,0,F511/J511)</f>
        <v>0.856644880174292</v>
      </c>
      <c r="M511" s="16" t="n">
        <f aca="false">IF(F511=0,0,G511/F511)</f>
        <v>0.956510681586979</v>
      </c>
      <c r="N511" s="16" t="n">
        <f aca="false">K511*L511*M511</f>
        <v>0.783541666666667</v>
      </c>
      <c r="O511" s="19" t="n">
        <f aca="false">MONTH(A511)</f>
        <v>8</v>
      </c>
      <c r="P511" s="19" t="n">
        <f aca="false">INT((A511-DATE(2026,7,1))/7)+1</f>
        <v>9</v>
      </c>
    </row>
    <row r="512" customFormat="false" ht="15" hidden="false" customHeight="false" outlineLevel="0" collapsed="false">
      <c r="A512" s="25" t="n">
        <v>46260</v>
      </c>
      <c r="B512" s="26" t="s">
        <v>18</v>
      </c>
      <c r="C512" s="26" t="s">
        <v>72</v>
      </c>
      <c r="D512" s="26" t="n">
        <v>480</v>
      </c>
      <c r="E512" s="26" t="n">
        <v>8</v>
      </c>
      <c r="F512" s="26" t="n">
        <v>2527</v>
      </c>
      <c r="G512" s="26" t="n">
        <v>2473</v>
      </c>
      <c r="H512" s="19" t="n">
        <f aca="false">SUMIFS(Paradas!$E$2:$E$1973,Paradas!$A$2:$A$1973,A512,Paradas!$B$2:$B$1973,B512,Paradas!$C$2:$C$1973,C512)</f>
        <v>131</v>
      </c>
      <c r="I512" s="19" t="n">
        <f aca="false">D512-H512</f>
        <v>349</v>
      </c>
      <c r="J512" s="19" t="n">
        <f aca="false">I512*E512</f>
        <v>2792</v>
      </c>
      <c r="K512" s="16" t="n">
        <f aca="false">IF(D512=0,0,I512/D512)</f>
        <v>0.727083333333333</v>
      </c>
      <c r="L512" s="16" t="n">
        <f aca="false">IF(J512=0,0,F512/J512)</f>
        <v>0.905085959885387</v>
      </c>
      <c r="M512" s="16" t="n">
        <f aca="false">IF(F512=0,0,G512/F512)</f>
        <v>0.978630787495053</v>
      </c>
      <c r="N512" s="16" t="n">
        <f aca="false">K512*L512*M512</f>
        <v>0.644010416666667</v>
      </c>
      <c r="O512" s="19" t="n">
        <f aca="false">MONTH(A512)</f>
        <v>8</v>
      </c>
      <c r="P512" s="19" t="n">
        <f aca="false">INT((A512-DATE(2026,7,1))/7)+1</f>
        <v>9</v>
      </c>
    </row>
    <row r="513" customFormat="false" ht="15" hidden="false" customHeight="false" outlineLevel="0" collapsed="false">
      <c r="A513" s="25" t="n">
        <v>46260</v>
      </c>
      <c r="B513" s="26" t="s">
        <v>18</v>
      </c>
      <c r="C513" s="26" t="s">
        <v>73</v>
      </c>
      <c r="D513" s="26" t="n">
        <v>480</v>
      </c>
      <c r="E513" s="26" t="n">
        <v>8</v>
      </c>
      <c r="F513" s="26" t="n">
        <v>3557</v>
      </c>
      <c r="G513" s="26" t="n">
        <v>3503</v>
      </c>
      <c r="H513" s="19" t="n">
        <f aca="false">SUMIFS(Paradas!$E$2:$E$1973,Paradas!$A$2:$A$1973,A513,Paradas!$B$2:$B$1973,B513,Paradas!$C$2:$C$1973,C513)</f>
        <v>0</v>
      </c>
      <c r="I513" s="19" t="n">
        <f aca="false">D513-H513</f>
        <v>480</v>
      </c>
      <c r="J513" s="19" t="n">
        <f aca="false">I513*E513</f>
        <v>3840</v>
      </c>
      <c r="K513" s="16" t="n">
        <f aca="false">IF(D513=0,0,I513/D513)</f>
        <v>1</v>
      </c>
      <c r="L513" s="16" t="n">
        <f aca="false">IF(J513=0,0,F513/J513)</f>
        <v>0.926302083333333</v>
      </c>
      <c r="M513" s="16" t="n">
        <f aca="false">IF(F513=0,0,G513/F513)</f>
        <v>0.984818667416362</v>
      </c>
      <c r="N513" s="16" t="n">
        <f aca="false">K513*L513*M513</f>
        <v>0.912239583333333</v>
      </c>
      <c r="O513" s="19" t="n">
        <f aca="false">MONTH(A513)</f>
        <v>8</v>
      </c>
      <c r="P513" s="19" t="n">
        <f aca="false">INT((A513-DATE(2026,7,1))/7)+1</f>
        <v>9</v>
      </c>
    </row>
    <row r="514" customFormat="false" ht="15" hidden="false" customHeight="false" outlineLevel="0" collapsed="false">
      <c r="A514" s="25" t="n">
        <v>46260</v>
      </c>
      <c r="B514" s="26" t="s">
        <v>18</v>
      </c>
      <c r="C514" s="26" t="s">
        <v>74</v>
      </c>
      <c r="D514" s="26" t="n">
        <v>480</v>
      </c>
      <c r="E514" s="26" t="n">
        <v>8</v>
      </c>
      <c r="F514" s="26" t="n">
        <v>3064</v>
      </c>
      <c r="G514" s="26" t="n">
        <v>2944</v>
      </c>
      <c r="H514" s="19" t="n">
        <f aca="false">SUMIFS(Paradas!$E$2:$E$1973,Paradas!$A$2:$A$1973,A514,Paradas!$B$2:$B$1973,B514,Paradas!$C$2:$C$1973,C514)</f>
        <v>29</v>
      </c>
      <c r="I514" s="19" t="n">
        <f aca="false">D514-H514</f>
        <v>451</v>
      </c>
      <c r="J514" s="19" t="n">
        <f aca="false">I514*E514</f>
        <v>3608</v>
      </c>
      <c r="K514" s="16" t="n">
        <f aca="false">IF(D514=0,0,I514/D514)</f>
        <v>0.939583333333333</v>
      </c>
      <c r="L514" s="16" t="n">
        <f aca="false">IF(J514=0,0,F514/J514)</f>
        <v>0.849223946784922</v>
      </c>
      <c r="M514" s="16" t="n">
        <f aca="false">IF(F514=0,0,G514/F514)</f>
        <v>0.960835509138381</v>
      </c>
      <c r="N514" s="16" t="n">
        <f aca="false">K514*L514*M514</f>
        <v>0.766666666666667</v>
      </c>
      <c r="O514" s="19" t="n">
        <f aca="false">MONTH(A514)</f>
        <v>8</v>
      </c>
      <c r="P514" s="19" t="n">
        <f aca="false">INT((A514-DATE(2026,7,1))/7)+1</f>
        <v>9</v>
      </c>
    </row>
    <row r="515" customFormat="false" ht="15" hidden="false" customHeight="false" outlineLevel="0" collapsed="false">
      <c r="A515" s="25" t="n">
        <v>46261</v>
      </c>
      <c r="B515" s="26" t="s">
        <v>16</v>
      </c>
      <c r="C515" s="26" t="s">
        <v>72</v>
      </c>
      <c r="D515" s="26" t="n">
        <v>480</v>
      </c>
      <c r="E515" s="26" t="n">
        <v>12</v>
      </c>
      <c r="F515" s="26" t="n">
        <v>4428</v>
      </c>
      <c r="G515" s="26" t="n">
        <v>4398</v>
      </c>
      <c r="H515" s="19" t="n">
        <f aca="false">SUMIFS(Paradas!$E$2:$E$1973,Paradas!$A$2:$A$1973,A515,Paradas!$B$2:$B$1973,B515,Paradas!$C$2:$C$1973,C515)</f>
        <v>54</v>
      </c>
      <c r="I515" s="19" t="n">
        <f aca="false">D515-H515</f>
        <v>426</v>
      </c>
      <c r="J515" s="19" t="n">
        <f aca="false">I515*E515</f>
        <v>5112</v>
      </c>
      <c r="K515" s="16" t="n">
        <f aca="false">IF(D515=0,0,I515/D515)</f>
        <v>0.8875</v>
      </c>
      <c r="L515" s="16" t="n">
        <f aca="false">IF(J515=0,0,F515/J515)</f>
        <v>0.866197183098592</v>
      </c>
      <c r="M515" s="16" t="n">
        <f aca="false">IF(F515=0,0,G515/F515)</f>
        <v>0.993224932249323</v>
      </c>
      <c r="N515" s="16" t="n">
        <f aca="false">K515*L515*M515</f>
        <v>0.763541666666667</v>
      </c>
      <c r="O515" s="19" t="n">
        <f aca="false">MONTH(A515)</f>
        <v>8</v>
      </c>
      <c r="P515" s="19" t="n">
        <f aca="false">INT((A515-DATE(2026,7,1))/7)+1</f>
        <v>9</v>
      </c>
    </row>
    <row r="516" customFormat="false" ht="15" hidden="false" customHeight="false" outlineLevel="0" collapsed="false">
      <c r="A516" s="25" t="n">
        <v>46261</v>
      </c>
      <c r="B516" s="26" t="s">
        <v>16</v>
      </c>
      <c r="C516" s="26" t="s">
        <v>73</v>
      </c>
      <c r="D516" s="26" t="n">
        <v>480</v>
      </c>
      <c r="E516" s="26" t="n">
        <v>12</v>
      </c>
      <c r="F516" s="26" t="n">
        <v>4372</v>
      </c>
      <c r="G516" s="26" t="n">
        <v>4329</v>
      </c>
      <c r="H516" s="19" t="n">
        <f aca="false">SUMIFS(Paradas!$E$2:$E$1973,Paradas!$A$2:$A$1973,A516,Paradas!$B$2:$B$1973,B516,Paradas!$C$2:$C$1973,C516)</f>
        <v>91</v>
      </c>
      <c r="I516" s="19" t="n">
        <f aca="false">D516-H516</f>
        <v>389</v>
      </c>
      <c r="J516" s="19" t="n">
        <f aca="false">I516*E516</f>
        <v>4668</v>
      </c>
      <c r="K516" s="16" t="n">
        <f aca="false">IF(D516=0,0,I516/D516)</f>
        <v>0.810416666666667</v>
      </c>
      <c r="L516" s="16" t="n">
        <f aca="false">IF(J516=0,0,F516/J516)</f>
        <v>0.936589545844045</v>
      </c>
      <c r="M516" s="16" t="n">
        <f aca="false">IF(F516=0,0,G516/F516)</f>
        <v>0.990164684354986</v>
      </c>
      <c r="N516" s="16" t="n">
        <f aca="false">K516*L516*M516</f>
        <v>0.7515625</v>
      </c>
      <c r="O516" s="19" t="n">
        <f aca="false">MONTH(A516)</f>
        <v>8</v>
      </c>
      <c r="P516" s="19" t="n">
        <f aca="false">INT((A516-DATE(2026,7,1))/7)+1</f>
        <v>9</v>
      </c>
    </row>
    <row r="517" customFormat="false" ht="15" hidden="false" customHeight="false" outlineLevel="0" collapsed="false">
      <c r="A517" s="25" t="n">
        <v>46261</v>
      </c>
      <c r="B517" s="26" t="s">
        <v>16</v>
      </c>
      <c r="C517" s="26" t="s">
        <v>74</v>
      </c>
      <c r="D517" s="26" t="n">
        <v>480</v>
      </c>
      <c r="E517" s="26" t="n">
        <v>12</v>
      </c>
      <c r="F517" s="26" t="n">
        <v>4486</v>
      </c>
      <c r="G517" s="26" t="n">
        <v>4391</v>
      </c>
      <c r="H517" s="19" t="n">
        <f aca="false">SUMIFS(Paradas!$E$2:$E$1973,Paradas!$A$2:$A$1973,A517,Paradas!$B$2:$B$1973,B517,Paradas!$C$2:$C$1973,C517)</f>
        <v>19</v>
      </c>
      <c r="I517" s="19" t="n">
        <f aca="false">D517-H517</f>
        <v>461</v>
      </c>
      <c r="J517" s="19" t="n">
        <f aca="false">I517*E517</f>
        <v>5532</v>
      </c>
      <c r="K517" s="16" t="n">
        <f aca="false">IF(D517=0,0,I517/D517)</f>
        <v>0.960416666666667</v>
      </c>
      <c r="L517" s="16" t="n">
        <f aca="false">IF(J517=0,0,F517/J517)</f>
        <v>0.810918293564714</v>
      </c>
      <c r="M517" s="16" t="n">
        <f aca="false">IF(F517=0,0,G517/F517)</f>
        <v>0.978823004904146</v>
      </c>
      <c r="N517" s="16" t="n">
        <f aca="false">K517*L517*M517</f>
        <v>0.762326388888889</v>
      </c>
      <c r="O517" s="19" t="n">
        <f aca="false">MONTH(A517)</f>
        <v>8</v>
      </c>
      <c r="P517" s="19" t="n">
        <f aca="false">INT((A517-DATE(2026,7,1))/7)+1</f>
        <v>9</v>
      </c>
    </row>
    <row r="518" customFormat="false" ht="15" hidden="false" customHeight="false" outlineLevel="0" collapsed="false">
      <c r="A518" s="25" t="n">
        <v>46261</v>
      </c>
      <c r="B518" s="26" t="s">
        <v>17</v>
      </c>
      <c r="C518" s="26" t="s">
        <v>72</v>
      </c>
      <c r="D518" s="26" t="n">
        <v>480</v>
      </c>
      <c r="E518" s="26" t="n">
        <v>10</v>
      </c>
      <c r="F518" s="26" t="n">
        <v>4002</v>
      </c>
      <c r="G518" s="26" t="n">
        <v>3757</v>
      </c>
      <c r="H518" s="19" t="n">
        <f aca="false">SUMIFS(Paradas!$E$2:$E$1973,Paradas!$A$2:$A$1973,A518,Paradas!$B$2:$B$1973,B518,Paradas!$C$2:$C$1973,C518)</f>
        <v>57</v>
      </c>
      <c r="I518" s="19" t="n">
        <f aca="false">D518-H518</f>
        <v>423</v>
      </c>
      <c r="J518" s="19" t="n">
        <f aca="false">I518*E518</f>
        <v>4230</v>
      </c>
      <c r="K518" s="16" t="n">
        <f aca="false">IF(D518=0,0,I518/D518)</f>
        <v>0.88125</v>
      </c>
      <c r="L518" s="16" t="n">
        <f aca="false">IF(J518=0,0,F518/J518)</f>
        <v>0.946099290780142</v>
      </c>
      <c r="M518" s="16" t="n">
        <f aca="false">IF(F518=0,0,G518/F518)</f>
        <v>0.938780609695152</v>
      </c>
      <c r="N518" s="16" t="n">
        <f aca="false">K518*L518*M518</f>
        <v>0.782708333333333</v>
      </c>
      <c r="O518" s="19" t="n">
        <f aca="false">MONTH(A518)</f>
        <v>8</v>
      </c>
      <c r="P518" s="19" t="n">
        <f aca="false">INT((A518-DATE(2026,7,1))/7)+1</f>
        <v>9</v>
      </c>
    </row>
    <row r="519" customFormat="false" ht="15" hidden="false" customHeight="false" outlineLevel="0" collapsed="false">
      <c r="A519" s="25" t="n">
        <v>46261</v>
      </c>
      <c r="B519" s="26" t="s">
        <v>17</v>
      </c>
      <c r="C519" s="26" t="s">
        <v>73</v>
      </c>
      <c r="D519" s="26" t="n">
        <v>480</v>
      </c>
      <c r="E519" s="26" t="n">
        <v>10</v>
      </c>
      <c r="F519" s="26" t="n">
        <v>3149</v>
      </c>
      <c r="G519" s="26" t="n">
        <v>2954</v>
      </c>
      <c r="H519" s="19" t="n">
        <f aca="false">SUMIFS(Paradas!$E$2:$E$1973,Paradas!$A$2:$A$1973,A519,Paradas!$B$2:$B$1973,B519,Paradas!$C$2:$C$1973,C519)</f>
        <v>128</v>
      </c>
      <c r="I519" s="19" t="n">
        <f aca="false">D519-H519</f>
        <v>352</v>
      </c>
      <c r="J519" s="19" t="n">
        <f aca="false">I519*E519</f>
        <v>3520</v>
      </c>
      <c r="K519" s="16" t="n">
        <f aca="false">IF(D519=0,0,I519/D519)</f>
        <v>0.733333333333333</v>
      </c>
      <c r="L519" s="16" t="n">
        <f aca="false">IF(J519=0,0,F519/J519)</f>
        <v>0.894602272727273</v>
      </c>
      <c r="M519" s="16" t="n">
        <f aca="false">IF(F519=0,0,G519/F519)</f>
        <v>0.938075579549063</v>
      </c>
      <c r="N519" s="16" t="n">
        <f aca="false">K519*L519*M519</f>
        <v>0.615416666666667</v>
      </c>
      <c r="O519" s="19" t="n">
        <f aca="false">MONTH(A519)</f>
        <v>8</v>
      </c>
      <c r="P519" s="19" t="n">
        <f aca="false">INT((A519-DATE(2026,7,1))/7)+1</f>
        <v>9</v>
      </c>
    </row>
    <row r="520" customFormat="false" ht="15" hidden="false" customHeight="false" outlineLevel="0" collapsed="false">
      <c r="A520" s="25" t="n">
        <v>46261</v>
      </c>
      <c r="B520" s="26" t="s">
        <v>17</v>
      </c>
      <c r="C520" s="26" t="s">
        <v>74</v>
      </c>
      <c r="D520" s="26" t="n">
        <v>480</v>
      </c>
      <c r="E520" s="26" t="n">
        <v>10</v>
      </c>
      <c r="F520" s="26" t="n">
        <v>4199</v>
      </c>
      <c r="G520" s="26" t="n">
        <v>4000</v>
      </c>
      <c r="H520" s="19" t="n">
        <f aca="false">SUMIFS(Paradas!$E$2:$E$1973,Paradas!$A$2:$A$1973,A520,Paradas!$B$2:$B$1973,B520,Paradas!$C$2:$C$1973,C520)</f>
        <v>0</v>
      </c>
      <c r="I520" s="19" t="n">
        <f aca="false">D520-H520</f>
        <v>480</v>
      </c>
      <c r="J520" s="19" t="n">
        <f aca="false">I520*E520</f>
        <v>4800</v>
      </c>
      <c r="K520" s="16" t="n">
        <f aca="false">IF(D520=0,0,I520/D520)</f>
        <v>1</v>
      </c>
      <c r="L520" s="16" t="n">
        <f aca="false">IF(J520=0,0,F520/J520)</f>
        <v>0.874791666666667</v>
      </c>
      <c r="M520" s="16" t="n">
        <f aca="false">IF(F520=0,0,G520/F520)</f>
        <v>0.952607763753275</v>
      </c>
      <c r="N520" s="16" t="n">
        <f aca="false">K520*L520*M520</f>
        <v>0.833333333333333</v>
      </c>
      <c r="O520" s="19" t="n">
        <f aca="false">MONTH(A520)</f>
        <v>8</v>
      </c>
      <c r="P520" s="19" t="n">
        <f aca="false">INT((A520-DATE(2026,7,1))/7)+1</f>
        <v>9</v>
      </c>
    </row>
    <row r="521" customFormat="false" ht="15" hidden="false" customHeight="false" outlineLevel="0" collapsed="false">
      <c r="A521" s="25" t="n">
        <v>46261</v>
      </c>
      <c r="B521" s="26" t="s">
        <v>18</v>
      </c>
      <c r="C521" s="26" t="s">
        <v>72</v>
      </c>
      <c r="D521" s="26" t="n">
        <v>480</v>
      </c>
      <c r="E521" s="26" t="n">
        <v>8</v>
      </c>
      <c r="F521" s="26" t="n">
        <v>3109</v>
      </c>
      <c r="G521" s="26" t="n">
        <v>3051</v>
      </c>
      <c r="H521" s="19" t="n">
        <f aca="false">SUMIFS(Paradas!$E$2:$E$1973,Paradas!$A$2:$A$1973,A521,Paradas!$B$2:$B$1973,B521,Paradas!$C$2:$C$1973,C521)</f>
        <v>44</v>
      </c>
      <c r="I521" s="19" t="n">
        <f aca="false">D521-H521</f>
        <v>436</v>
      </c>
      <c r="J521" s="19" t="n">
        <f aca="false">I521*E521</f>
        <v>3488</v>
      </c>
      <c r="K521" s="16" t="n">
        <f aca="false">IF(D521=0,0,I521/D521)</f>
        <v>0.908333333333333</v>
      </c>
      <c r="L521" s="16" t="n">
        <f aca="false">IF(J521=0,0,F521/J521)</f>
        <v>0.891341743119266</v>
      </c>
      <c r="M521" s="16" t="n">
        <f aca="false">IF(F521=0,0,G521/F521)</f>
        <v>0.981344483756835</v>
      </c>
      <c r="N521" s="16" t="n">
        <f aca="false">K521*L521*M521</f>
        <v>0.79453125</v>
      </c>
      <c r="O521" s="19" t="n">
        <f aca="false">MONTH(A521)</f>
        <v>8</v>
      </c>
      <c r="P521" s="19" t="n">
        <f aca="false">INT((A521-DATE(2026,7,1))/7)+1</f>
        <v>9</v>
      </c>
    </row>
    <row r="522" customFormat="false" ht="15" hidden="false" customHeight="false" outlineLevel="0" collapsed="false">
      <c r="A522" s="25" t="n">
        <v>46261</v>
      </c>
      <c r="B522" s="26" t="s">
        <v>18</v>
      </c>
      <c r="C522" s="26" t="s">
        <v>73</v>
      </c>
      <c r="D522" s="26" t="n">
        <v>480</v>
      </c>
      <c r="E522" s="26" t="n">
        <v>8</v>
      </c>
      <c r="F522" s="26" t="n">
        <v>2553</v>
      </c>
      <c r="G522" s="26" t="n">
        <v>2482</v>
      </c>
      <c r="H522" s="19" t="n">
        <f aca="false">SUMIFS(Paradas!$E$2:$E$1973,Paradas!$A$2:$A$1973,A522,Paradas!$B$2:$B$1973,B522,Paradas!$C$2:$C$1973,C522)</f>
        <v>109</v>
      </c>
      <c r="I522" s="19" t="n">
        <f aca="false">D522-H522</f>
        <v>371</v>
      </c>
      <c r="J522" s="19" t="n">
        <f aca="false">I522*E522</f>
        <v>2968</v>
      </c>
      <c r="K522" s="16" t="n">
        <f aca="false">IF(D522=0,0,I522/D522)</f>
        <v>0.772916666666667</v>
      </c>
      <c r="L522" s="16" t="n">
        <f aca="false">IF(J522=0,0,F522/J522)</f>
        <v>0.860175202156334</v>
      </c>
      <c r="M522" s="16" t="n">
        <f aca="false">IF(F522=0,0,G522/F522)</f>
        <v>0.972189580885233</v>
      </c>
      <c r="N522" s="16" t="n">
        <f aca="false">K522*L522*M522</f>
        <v>0.646354166666667</v>
      </c>
      <c r="O522" s="19" t="n">
        <f aca="false">MONTH(A522)</f>
        <v>8</v>
      </c>
      <c r="P522" s="19" t="n">
        <f aca="false">INT((A522-DATE(2026,7,1))/7)+1</f>
        <v>9</v>
      </c>
    </row>
    <row r="523" customFormat="false" ht="15" hidden="false" customHeight="false" outlineLevel="0" collapsed="false">
      <c r="A523" s="25" t="n">
        <v>46261</v>
      </c>
      <c r="B523" s="26" t="s">
        <v>18</v>
      </c>
      <c r="C523" s="26" t="s">
        <v>74</v>
      </c>
      <c r="D523" s="26" t="n">
        <v>480</v>
      </c>
      <c r="E523" s="26" t="n">
        <v>8</v>
      </c>
      <c r="F523" s="26" t="n">
        <v>2924</v>
      </c>
      <c r="G523" s="26" t="n">
        <v>2903</v>
      </c>
      <c r="H523" s="19" t="n">
        <f aca="false">SUMIFS(Paradas!$E$2:$E$1973,Paradas!$A$2:$A$1973,A523,Paradas!$B$2:$B$1973,B523,Paradas!$C$2:$C$1973,C523)</f>
        <v>63</v>
      </c>
      <c r="I523" s="19" t="n">
        <f aca="false">D523-H523</f>
        <v>417</v>
      </c>
      <c r="J523" s="19" t="n">
        <f aca="false">I523*E523</f>
        <v>3336</v>
      </c>
      <c r="K523" s="16" t="n">
        <f aca="false">IF(D523=0,0,I523/D523)</f>
        <v>0.86875</v>
      </c>
      <c r="L523" s="16" t="n">
        <f aca="false">IF(J523=0,0,F523/J523)</f>
        <v>0.876498800959233</v>
      </c>
      <c r="M523" s="16" t="n">
        <f aca="false">IF(F523=0,0,G523/F523)</f>
        <v>0.99281805745554</v>
      </c>
      <c r="N523" s="16" t="n">
        <f aca="false">K523*L523*M523</f>
        <v>0.755989583333333</v>
      </c>
      <c r="O523" s="19" t="n">
        <f aca="false">MONTH(A523)</f>
        <v>8</v>
      </c>
      <c r="P523" s="19" t="n">
        <f aca="false">INT((A523-DATE(2026,7,1))/7)+1</f>
        <v>9</v>
      </c>
    </row>
    <row r="524" customFormat="false" ht="15" hidden="false" customHeight="false" outlineLevel="0" collapsed="false">
      <c r="A524" s="25" t="n">
        <v>46262</v>
      </c>
      <c r="B524" s="26" t="s">
        <v>16</v>
      </c>
      <c r="C524" s="26" t="s">
        <v>72</v>
      </c>
      <c r="D524" s="26" t="n">
        <v>480</v>
      </c>
      <c r="E524" s="26" t="n">
        <v>12</v>
      </c>
      <c r="F524" s="26" t="n">
        <v>3223</v>
      </c>
      <c r="G524" s="26" t="n">
        <v>3161</v>
      </c>
      <c r="H524" s="19" t="n">
        <f aca="false">SUMIFS(Paradas!$E$2:$E$1973,Paradas!$A$2:$A$1973,A524,Paradas!$B$2:$B$1973,B524,Paradas!$C$2:$C$1973,C524)</f>
        <v>160</v>
      </c>
      <c r="I524" s="19" t="n">
        <f aca="false">D524-H524</f>
        <v>320</v>
      </c>
      <c r="J524" s="19" t="n">
        <f aca="false">I524*E524</f>
        <v>3840</v>
      </c>
      <c r="K524" s="16" t="n">
        <f aca="false">IF(D524=0,0,I524/D524)</f>
        <v>0.666666666666667</v>
      </c>
      <c r="L524" s="16" t="n">
        <f aca="false">IF(J524=0,0,F524/J524)</f>
        <v>0.839322916666667</v>
      </c>
      <c r="M524" s="16" t="n">
        <f aca="false">IF(F524=0,0,G524/F524)</f>
        <v>0.980763264039715</v>
      </c>
      <c r="N524" s="16" t="n">
        <f aca="false">K524*L524*M524</f>
        <v>0.548784722222222</v>
      </c>
      <c r="O524" s="19" t="n">
        <f aca="false">MONTH(A524)</f>
        <v>8</v>
      </c>
      <c r="P524" s="19" t="n">
        <f aca="false">INT((A524-DATE(2026,7,1))/7)+1</f>
        <v>9</v>
      </c>
    </row>
    <row r="525" customFormat="false" ht="15" hidden="false" customHeight="false" outlineLevel="0" collapsed="false">
      <c r="A525" s="25" t="n">
        <v>46262</v>
      </c>
      <c r="B525" s="26" t="s">
        <v>16</v>
      </c>
      <c r="C525" s="26" t="s">
        <v>73</v>
      </c>
      <c r="D525" s="26" t="n">
        <v>480</v>
      </c>
      <c r="E525" s="26" t="n">
        <v>12</v>
      </c>
      <c r="F525" s="26" t="n">
        <v>4640</v>
      </c>
      <c r="G525" s="26" t="n">
        <v>4584</v>
      </c>
      <c r="H525" s="19" t="n">
        <f aca="false">SUMIFS(Paradas!$E$2:$E$1973,Paradas!$A$2:$A$1973,A525,Paradas!$B$2:$B$1973,B525,Paradas!$C$2:$C$1973,C525)</f>
        <v>31</v>
      </c>
      <c r="I525" s="19" t="n">
        <f aca="false">D525-H525</f>
        <v>449</v>
      </c>
      <c r="J525" s="19" t="n">
        <f aca="false">I525*E525</f>
        <v>5388</v>
      </c>
      <c r="K525" s="16" t="n">
        <f aca="false">IF(D525=0,0,I525/D525)</f>
        <v>0.935416666666667</v>
      </c>
      <c r="L525" s="16" t="n">
        <f aca="false">IF(J525=0,0,F525/J525)</f>
        <v>0.861172976985895</v>
      </c>
      <c r="M525" s="16" t="n">
        <f aca="false">IF(F525=0,0,G525/F525)</f>
        <v>0.987931034482759</v>
      </c>
      <c r="N525" s="16" t="n">
        <f aca="false">K525*L525*M525</f>
        <v>0.795833333333333</v>
      </c>
      <c r="O525" s="19" t="n">
        <f aca="false">MONTH(A525)</f>
        <v>8</v>
      </c>
      <c r="P525" s="19" t="n">
        <f aca="false">INT((A525-DATE(2026,7,1))/7)+1</f>
        <v>9</v>
      </c>
    </row>
    <row r="526" customFormat="false" ht="15" hidden="false" customHeight="false" outlineLevel="0" collapsed="false">
      <c r="A526" s="25" t="n">
        <v>46262</v>
      </c>
      <c r="B526" s="26" t="s">
        <v>16</v>
      </c>
      <c r="C526" s="26" t="s">
        <v>74</v>
      </c>
      <c r="D526" s="26" t="n">
        <v>480</v>
      </c>
      <c r="E526" s="26" t="n">
        <v>12</v>
      </c>
      <c r="F526" s="26" t="n">
        <v>4776</v>
      </c>
      <c r="G526" s="26" t="n">
        <v>4704</v>
      </c>
      <c r="H526" s="19" t="n">
        <f aca="false">SUMIFS(Paradas!$E$2:$E$1973,Paradas!$A$2:$A$1973,A526,Paradas!$B$2:$B$1973,B526,Paradas!$C$2:$C$1973,C526)</f>
        <v>0</v>
      </c>
      <c r="I526" s="19" t="n">
        <f aca="false">D526-H526</f>
        <v>480</v>
      </c>
      <c r="J526" s="19" t="n">
        <f aca="false">I526*E526</f>
        <v>5760</v>
      </c>
      <c r="K526" s="16" t="n">
        <f aca="false">IF(D526=0,0,I526/D526)</f>
        <v>1</v>
      </c>
      <c r="L526" s="16" t="n">
        <f aca="false">IF(J526=0,0,F526/J526)</f>
        <v>0.829166666666667</v>
      </c>
      <c r="M526" s="16" t="n">
        <f aca="false">IF(F526=0,0,G526/F526)</f>
        <v>0.984924623115578</v>
      </c>
      <c r="N526" s="16" t="n">
        <f aca="false">K526*L526*M526</f>
        <v>0.816666666666667</v>
      </c>
      <c r="O526" s="19" t="n">
        <f aca="false">MONTH(A526)</f>
        <v>8</v>
      </c>
      <c r="P526" s="19" t="n">
        <f aca="false">INT((A526-DATE(2026,7,1))/7)+1</f>
        <v>9</v>
      </c>
    </row>
    <row r="527" customFormat="false" ht="15" hidden="false" customHeight="false" outlineLevel="0" collapsed="false">
      <c r="A527" s="25" t="n">
        <v>46262</v>
      </c>
      <c r="B527" s="26" t="s">
        <v>17</v>
      </c>
      <c r="C527" s="26" t="s">
        <v>72</v>
      </c>
      <c r="D527" s="26" t="n">
        <v>480</v>
      </c>
      <c r="E527" s="26" t="n">
        <v>10</v>
      </c>
      <c r="F527" s="26" t="n">
        <v>3926</v>
      </c>
      <c r="G527" s="26" t="n">
        <v>3733</v>
      </c>
      <c r="H527" s="19" t="n">
        <f aca="false">SUMIFS(Paradas!$E$2:$E$1973,Paradas!$A$2:$A$1973,A527,Paradas!$B$2:$B$1973,B527,Paradas!$C$2:$C$1973,C527)</f>
        <v>37</v>
      </c>
      <c r="I527" s="19" t="n">
        <f aca="false">D527-H527</f>
        <v>443</v>
      </c>
      <c r="J527" s="19" t="n">
        <f aca="false">I527*E527</f>
        <v>4430</v>
      </c>
      <c r="K527" s="16" t="n">
        <f aca="false">IF(D527=0,0,I527/D527)</f>
        <v>0.922916666666667</v>
      </c>
      <c r="L527" s="16" t="n">
        <f aca="false">IF(J527=0,0,F527/J527)</f>
        <v>0.886230248306998</v>
      </c>
      <c r="M527" s="16" t="n">
        <f aca="false">IF(F527=0,0,G527/F527)</f>
        <v>0.950840550178299</v>
      </c>
      <c r="N527" s="16" t="n">
        <f aca="false">K527*L527*M527</f>
        <v>0.777708333333333</v>
      </c>
      <c r="O527" s="19" t="n">
        <f aca="false">MONTH(A527)</f>
        <v>8</v>
      </c>
      <c r="P527" s="19" t="n">
        <f aca="false">INT((A527-DATE(2026,7,1))/7)+1</f>
        <v>9</v>
      </c>
    </row>
    <row r="528" customFormat="false" ht="15" hidden="false" customHeight="false" outlineLevel="0" collapsed="false">
      <c r="A528" s="25" t="n">
        <v>46262</v>
      </c>
      <c r="B528" s="26" t="s">
        <v>17</v>
      </c>
      <c r="C528" s="26" t="s">
        <v>73</v>
      </c>
      <c r="D528" s="26" t="n">
        <v>480</v>
      </c>
      <c r="E528" s="26" t="n">
        <v>10</v>
      </c>
      <c r="F528" s="26" t="n">
        <v>2442</v>
      </c>
      <c r="G528" s="26" t="n">
        <v>2322</v>
      </c>
      <c r="H528" s="19" t="n">
        <f aca="false">SUMIFS(Paradas!$E$2:$E$1973,Paradas!$A$2:$A$1973,A528,Paradas!$B$2:$B$1973,B528,Paradas!$C$2:$C$1973,C528)</f>
        <v>211</v>
      </c>
      <c r="I528" s="19" t="n">
        <f aca="false">D528-H528</f>
        <v>269</v>
      </c>
      <c r="J528" s="19" t="n">
        <f aca="false">I528*E528</f>
        <v>2690</v>
      </c>
      <c r="K528" s="16" t="n">
        <f aca="false">IF(D528=0,0,I528/D528)</f>
        <v>0.560416666666667</v>
      </c>
      <c r="L528" s="16" t="n">
        <f aca="false">IF(J528=0,0,F528/J528)</f>
        <v>0.907806691449814</v>
      </c>
      <c r="M528" s="16" t="n">
        <f aca="false">IF(F528=0,0,G528/F528)</f>
        <v>0.950859950859951</v>
      </c>
      <c r="N528" s="16" t="n">
        <f aca="false">K528*L528*M528</f>
        <v>0.48375</v>
      </c>
      <c r="O528" s="19" t="n">
        <f aca="false">MONTH(A528)</f>
        <v>8</v>
      </c>
      <c r="P528" s="19" t="n">
        <f aca="false">INT((A528-DATE(2026,7,1))/7)+1</f>
        <v>9</v>
      </c>
    </row>
    <row r="529" customFormat="false" ht="15" hidden="false" customHeight="false" outlineLevel="0" collapsed="false">
      <c r="A529" s="25" t="n">
        <v>46262</v>
      </c>
      <c r="B529" s="26" t="s">
        <v>17</v>
      </c>
      <c r="C529" s="26" t="s">
        <v>74</v>
      </c>
      <c r="D529" s="26" t="n">
        <v>480</v>
      </c>
      <c r="E529" s="26" t="n">
        <v>10</v>
      </c>
      <c r="F529" s="26" t="n">
        <v>3564</v>
      </c>
      <c r="G529" s="26" t="n">
        <v>3372</v>
      </c>
      <c r="H529" s="19" t="n">
        <f aca="false">SUMIFS(Paradas!$E$2:$E$1973,Paradas!$A$2:$A$1973,A529,Paradas!$B$2:$B$1973,B529,Paradas!$C$2:$C$1973,C529)</f>
        <v>52</v>
      </c>
      <c r="I529" s="19" t="n">
        <f aca="false">D529-H529</f>
        <v>428</v>
      </c>
      <c r="J529" s="19" t="n">
        <f aca="false">I529*E529</f>
        <v>4280</v>
      </c>
      <c r="K529" s="16" t="n">
        <f aca="false">IF(D529=0,0,I529/D529)</f>
        <v>0.891666666666667</v>
      </c>
      <c r="L529" s="16" t="n">
        <f aca="false">IF(J529=0,0,F529/J529)</f>
        <v>0.832710280373832</v>
      </c>
      <c r="M529" s="16" t="n">
        <f aca="false">IF(F529=0,0,G529/F529)</f>
        <v>0.946127946127946</v>
      </c>
      <c r="N529" s="16" t="n">
        <f aca="false">K529*L529*M529</f>
        <v>0.7025</v>
      </c>
      <c r="O529" s="19" t="n">
        <f aca="false">MONTH(A529)</f>
        <v>8</v>
      </c>
      <c r="P529" s="19" t="n">
        <f aca="false">INT((A529-DATE(2026,7,1))/7)+1</f>
        <v>9</v>
      </c>
    </row>
    <row r="530" customFormat="false" ht="15" hidden="false" customHeight="false" outlineLevel="0" collapsed="false">
      <c r="A530" s="25" t="n">
        <v>46262</v>
      </c>
      <c r="B530" s="26" t="s">
        <v>18</v>
      </c>
      <c r="C530" s="26" t="s">
        <v>72</v>
      </c>
      <c r="D530" s="26" t="n">
        <v>480</v>
      </c>
      <c r="E530" s="26" t="n">
        <v>8</v>
      </c>
      <c r="F530" s="26" t="n">
        <v>2970</v>
      </c>
      <c r="G530" s="26" t="n">
        <v>2903</v>
      </c>
      <c r="H530" s="19" t="n">
        <f aca="false">SUMIFS(Paradas!$E$2:$E$1973,Paradas!$A$2:$A$1973,A530,Paradas!$B$2:$B$1973,B530,Paradas!$C$2:$C$1973,C530)</f>
        <v>28</v>
      </c>
      <c r="I530" s="19" t="n">
        <f aca="false">D530-H530</f>
        <v>452</v>
      </c>
      <c r="J530" s="19" t="n">
        <f aca="false">I530*E530</f>
        <v>3616</v>
      </c>
      <c r="K530" s="16" t="n">
        <f aca="false">IF(D530=0,0,I530/D530)</f>
        <v>0.941666666666667</v>
      </c>
      <c r="L530" s="16" t="n">
        <f aca="false">IF(J530=0,0,F530/J530)</f>
        <v>0.821349557522124</v>
      </c>
      <c r="M530" s="16" t="n">
        <f aca="false">IF(F530=0,0,G530/F530)</f>
        <v>0.977441077441077</v>
      </c>
      <c r="N530" s="16" t="n">
        <f aca="false">K530*L530*M530</f>
        <v>0.755989583333333</v>
      </c>
      <c r="O530" s="19" t="n">
        <f aca="false">MONTH(A530)</f>
        <v>8</v>
      </c>
      <c r="P530" s="19" t="n">
        <f aca="false">INT((A530-DATE(2026,7,1))/7)+1</f>
        <v>9</v>
      </c>
    </row>
    <row r="531" customFormat="false" ht="15" hidden="false" customHeight="false" outlineLevel="0" collapsed="false">
      <c r="A531" s="25" t="n">
        <v>46262</v>
      </c>
      <c r="B531" s="26" t="s">
        <v>18</v>
      </c>
      <c r="C531" s="26" t="s">
        <v>73</v>
      </c>
      <c r="D531" s="26" t="n">
        <v>480</v>
      </c>
      <c r="E531" s="26" t="n">
        <v>8</v>
      </c>
      <c r="F531" s="26" t="n">
        <v>2656</v>
      </c>
      <c r="G531" s="26" t="n">
        <v>2565</v>
      </c>
      <c r="H531" s="19" t="n">
        <f aca="false">SUMIFS(Paradas!$E$2:$E$1973,Paradas!$A$2:$A$1973,A531,Paradas!$B$2:$B$1973,B531,Paradas!$C$2:$C$1973,C531)</f>
        <v>123</v>
      </c>
      <c r="I531" s="19" t="n">
        <f aca="false">D531-H531</f>
        <v>357</v>
      </c>
      <c r="J531" s="19" t="n">
        <f aca="false">I531*E531</f>
        <v>2856</v>
      </c>
      <c r="K531" s="16" t="n">
        <f aca="false">IF(D531=0,0,I531/D531)</f>
        <v>0.74375</v>
      </c>
      <c r="L531" s="16" t="n">
        <f aca="false">IF(J531=0,0,F531/J531)</f>
        <v>0.929971988795518</v>
      </c>
      <c r="M531" s="16" t="n">
        <f aca="false">IF(F531=0,0,G531/F531)</f>
        <v>0.965737951807229</v>
      </c>
      <c r="N531" s="16" t="n">
        <f aca="false">K531*L531*M531</f>
        <v>0.66796875</v>
      </c>
      <c r="O531" s="19" t="n">
        <f aca="false">MONTH(A531)</f>
        <v>8</v>
      </c>
      <c r="P531" s="19" t="n">
        <f aca="false">INT((A531-DATE(2026,7,1))/7)+1</f>
        <v>9</v>
      </c>
    </row>
    <row r="532" customFormat="false" ht="15" hidden="false" customHeight="false" outlineLevel="0" collapsed="false">
      <c r="A532" s="25" t="n">
        <v>46262</v>
      </c>
      <c r="B532" s="26" t="s">
        <v>18</v>
      </c>
      <c r="C532" s="26" t="s">
        <v>74</v>
      </c>
      <c r="D532" s="26" t="n">
        <v>480</v>
      </c>
      <c r="E532" s="26" t="n">
        <v>8</v>
      </c>
      <c r="F532" s="26" t="n">
        <v>2510</v>
      </c>
      <c r="G532" s="26" t="n">
        <v>2458</v>
      </c>
      <c r="H532" s="19" t="n">
        <f aca="false">SUMIFS(Paradas!$E$2:$E$1973,Paradas!$A$2:$A$1973,A532,Paradas!$B$2:$B$1973,B532,Paradas!$C$2:$C$1973,C532)</f>
        <v>79</v>
      </c>
      <c r="I532" s="19" t="n">
        <f aca="false">D532-H532</f>
        <v>401</v>
      </c>
      <c r="J532" s="19" t="n">
        <f aca="false">I532*E532</f>
        <v>3208</v>
      </c>
      <c r="K532" s="16" t="n">
        <f aca="false">IF(D532=0,0,I532/D532)</f>
        <v>0.835416666666667</v>
      </c>
      <c r="L532" s="16" t="n">
        <f aca="false">IF(J532=0,0,F532/J532)</f>
        <v>0.782418952618454</v>
      </c>
      <c r="M532" s="16" t="n">
        <f aca="false">IF(F532=0,0,G532/F532)</f>
        <v>0.979282868525896</v>
      </c>
      <c r="N532" s="16" t="n">
        <f aca="false">K532*L532*M532</f>
        <v>0.640104166666667</v>
      </c>
      <c r="O532" s="19" t="n">
        <f aca="false">MONTH(A532)</f>
        <v>8</v>
      </c>
      <c r="P532" s="19" t="n">
        <f aca="false">INT((A532-DATE(2026,7,1))/7)+1</f>
        <v>9</v>
      </c>
    </row>
    <row r="533" customFormat="false" ht="15" hidden="false" customHeight="false" outlineLevel="0" collapsed="false">
      <c r="A533" s="25" t="n">
        <v>46263</v>
      </c>
      <c r="B533" s="26" t="s">
        <v>16</v>
      </c>
      <c r="C533" s="26" t="s">
        <v>72</v>
      </c>
      <c r="D533" s="26" t="n">
        <v>480</v>
      </c>
      <c r="E533" s="26" t="n">
        <v>12</v>
      </c>
      <c r="F533" s="26" t="n">
        <v>4687</v>
      </c>
      <c r="G533" s="26" t="n">
        <v>4564</v>
      </c>
      <c r="H533" s="19" t="n">
        <f aca="false">SUMIFS(Paradas!$E$2:$E$1973,Paradas!$A$2:$A$1973,A533,Paradas!$B$2:$B$1973,B533,Paradas!$C$2:$C$1973,C533)</f>
        <v>58</v>
      </c>
      <c r="I533" s="19" t="n">
        <f aca="false">D533-H533</f>
        <v>422</v>
      </c>
      <c r="J533" s="19" t="n">
        <f aca="false">I533*E533</f>
        <v>5064</v>
      </c>
      <c r="K533" s="16" t="n">
        <f aca="false">IF(D533=0,0,I533/D533)</f>
        <v>0.879166666666667</v>
      </c>
      <c r="L533" s="16" t="n">
        <f aca="false">IF(J533=0,0,F533/J533)</f>
        <v>0.925552922590837</v>
      </c>
      <c r="M533" s="16" t="n">
        <f aca="false">IF(F533=0,0,G533/F533)</f>
        <v>0.973757200768082</v>
      </c>
      <c r="N533" s="16" t="n">
        <f aca="false">K533*L533*M533</f>
        <v>0.792361111111111</v>
      </c>
      <c r="O533" s="19" t="n">
        <f aca="false">MONTH(A533)</f>
        <v>8</v>
      </c>
      <c r="P533" s="19" t="n">
        <f aca="false">INT((A533-DATE(2026,7,1))/7)+1</f>
        <v>9</v>
      </c>
    </row>
    <row r="534" customFormat="false" ht="15" hidden="false" customHeight="false" outlineLevel="0" collapsed="false">
      <c r="A534" s="25" t="n">
        <v>46263</v>
      </c>
      <c r="B534" s="26" t="s">
        <v>16</v>
      </c>
      <c r="C534" s="26" t="s">
        <v>73</v>
      </c>
      <c r="D534" s="26" t="n">
        <v>480</v>
      </c>
      <c r="E534" s="26" t="n">
        <v>12</v>
      </c>
      <c r="F534" s="26" t="n">
        <v>4953</v>
      </c>
      <c r="G534" s="26" t="n">
        <v>4799</v>
      </c>
      <c r="H534" s="19" t="n">
        <f aca="false">SUMIFS(Paradas!$E$2:$E$1973,Paradas!$A$2:$A$1973,A534,Paradas!$B$2:$B$1973,B534,Paradas!$C$2:$C$1973,C534)</f>
        <v>23</v>
      </c>
      <c r="I534" s="19" t="n">
        <f aca="false">D534-H534</f>
        <v>457</v>
      </c>
      <c r="J534" s="19" t="n">
        <f aca="false">I534*E534</f>
        <v>5484</v>
      </c>
      <c r="K534" s="16" t="n">
        <f aca="false">IF(D534=0,0,I534/D534)</f>
        <v>0.952083333333333</v>
      </c>
      <c r="L534" s="16" t="n">
        <f aca="false">IF(J534=0,0,F534/J534)</f>
        <v>0.903172866520788</v>
      </c>
      <c r="M534" s="16" t="n">
        <f aca="false">IF(F534=0,0,G534/F534)</f>
        <v>0.96890773268726</v>
      </c>
      <c r="N534" s="16" t="n">
        <f aca="false">K534*L534*M534</f>
        <v>0.833159722222222</v>
      </c>
      <c r="O534" s="19" t="n">
        <f aca="false">MONTH(A534)</f>
        <v>8</v>
      </c>
      <c r="P534" s="19" t="n">
        <f aca="false">INT((A534-DATE(2026,7,1))/7)+1</f>
        <v>9</v>
      </c>
    </row>
    <row r="535" customFormat="false" ht="15" hidden="false" customHeight="false" outlineLevel="0" collapsed="false">
      <c r="A535" s="25" t="n">
        <v>46263</v>
      </c>
      <c r="B535" s="26" t="s">
        <v>16</v>
      </c>
      <c r="C535" s="26" t="s">
        <v>74</v>
      </c>
      <c r="D535" s="26" t="n">
        <v>480</v>
      </c>
      <c r="E535" s="26" t="n">
        <v>12</v>
      </c>
      <c r="F535" s="26" t="n">
        <v>3460</v>
      </c>
      <c r="G535" s="26" t="n">
        <v>3351</v>
      </c>
      <c r="H535" s="19" t="n">
        <f aca="false">SUMIFS(Paradas!$E$2:$E$1973,Paradas!$A$2:$A$1973,A535,Paradas!$B$2:$B$1973,B535,Paradas!$C$2:$C$1973,C535)</f>
        <v>164</v>
      </c>
      <c r="I535" s="19" t="n">
        <f aca="false">D535-H535</f>
        <v>316</v>
      </c>
      <c r="J535" s="19" t="n">
        <f aca="false">I535*E535</f>
        <v>3792</v>
      </c>
      <c r="K535" s="16" t="n">
        <f aca="false">IF(D535=0,0,I535/D535)</f>
        <v>0.658333333333333</v>
      </c>
      <c r="L535" s="16" t="n">
        <f aca="false">IF(J535=0,0,F535/J535)</f>
        <v>0.912447257383966</v>
      </c>
      <c r="M535" s="16" t="n">
        <f aca="false">IF(F535=0,0,G535/F535)</f>
        <v>0.96849710982659</v>
      </c>
      <c r="N535" s="16" t="n">
        <f aca="false">K535*L535*M535</f>
        <v>0.581770833333333</v>
      </c>
      <c r="O535" s="19" t="n">
        <f aca="false">MONTH(A535)</f>
        <v>8</v>
      </c>
      <c r="P535" s="19" t="n">
        <f aca="false">INT((A535-DATE(2026,7,1))/7)+1</f>
        <v>9</v>
      </c>
    </row>
    <row r="536" customFormat="false" ht="15" hidden="false" customHeight="false" outlineLevel="0" collapsed="false">
      <c r="A536" s="25" t="n">
        <v>46263</v>
      </c>
      <c r="B536" s="26" t="s">
        <v>17</v>
      </c>
      <c r="C536" s="26" t="s">
        <v>72</v>
      </c>
      <c r="D536" s="26" t="n">
        <v>480</v>
      </c>
      <c r="E536" s="26" t="n">
        <v>10</v>
      </c>
      <c r="F536" s="26" t="n">
        <v>3467</v>
      </c>
      <c r="G536" s="26" t="n">
        <v>3292</v>
      </c>
      <c r="H536" s="19" t="n">
        <f aca="false">SUMIFS(Paradas!$E$2:$E$1973,Paradas!$A$2:$A$1973,A536,Paradas!$B$2:$B$1973,B536,Paradas!$C$2:$C$1973,C536)</f>
        <v>66</v>
      </c>
      <c r="I536" s="19" t="n">
        <f aca="false">D536-H536</f>
        <v>414</v>
      </c>
      <c r="J536" s="19" t="n">
        <f aca="false">I536*E536</f>
        <v>4140</v>
      </c>
      <c r="K536" s="16" t="n">
        <f aca="false">IF(D536=0,0,I536/D536)</f>
        <v>0.8625</v>
      </c>
      <c r="L536" s="16" t="n">
        <f aca="false">IF(J536=0,0,F536/J536)</f>
        <v>0.83743961352657</v>
      </c>
      <c r="M536" s="16" t="n">
        <f aca="false">IF(F536=0,0,G536/F536)</f>
        <v>0.949524084222671</v>
      </c>
      <c r="N536" s="16" t="n">
        <f aca="false">K536*L536*M536</f>
        <v>0.685833333333333</v>
      </c>
      <c r="O536" s="19" t="n">
        <f aca="false">MONTH(A536)</f>
        <v>8</v>
      </c>
      <c r="P536" s="19" t="n">
        <f aca="false">INT((A536-DATE(2026,7,1))/7)+1</f>
        <v>9</v>
      </c>
    </row>
    <row r="537" customFormat="false" ht="15" hidden="false" customHeight="false" outlineLevel="0" collapsed="false">
      <c r="A537" s="25" t="n">
        <v>46263</v>
      </c>
      <c r="B537" s="26" t="s">
        <v>17</v>
      </c>
      <c r="C537" s="26" t="s">
        <v>73</v>
      </c>
      <c r="D537" s="26" t="n">
        <v>480</v>
      </c>
      <c r="E537" s="26" t="n">
        <v>10</v>
      </c>
      <c r="F537" s="26" t="n">
        <v>3391</v>
      </c>
      <c r="G537" s="26" t="n">
        <v>3150</v>
      </c>
      <c r="H537" s="19" t="n">
        <f aca="false">SUMIFS(Paradas!$E$2:$E$1973,Paradas!$A$2:$A$1973,A537,Paradas!$B$2:$B$1973,B537,Paradas!$C$2:$C$1973,C537)</f>
        <v>111</v>
      </c>
      <c r="I537" s="19" t="n">
        <f aca="false">D537-H537</f>
        <v>369</v>
      </c>
      <c r="J537" s="19" t="n">
        <f aca="false">I537*E537</f>
        <v>3690</v>
      </c>
      <c r="K537" s="16" t="n">
        <f aca="false">IF(D537=0,0,I537/D537)</f>
        <v>0.76875</v>
      </c>
      <c r="L537" s="16" t="n">
        <f aca="false">IF(J537=0,0,F537/J537)</f>
        <v>0.918970189701897</v>
      </c>
      <c r="M537" s="16" t="n">
        <f aca="false">IF(F537=0,0,G537/F537)</f>
        <v>0.928929519315836</v>
      </c>
      <c r="N537" s="16" t="n">
        <f aca="false">K537*L537*M537</f>
        <v>0.65625</v>
      </c>
      <c r="O537" s="19" t="n">
        <f aca="false">MONTH(A537)</f>
        <v>8</v>
      </c>
      <c r="P537" s="19" t="n">
        <f aca="false">INT((A537-DATE(2026,7,1))/7)+1</f>
        <v>9</v>
      </c>
    </row>
    <row r="538" customFormat="false" ht="15" hidden="false" customHeight="false" outlineLevel="0" collapsed="false">
      <c r="A538" s="25" t="n">
        <v>46263</v>
      </c>
      <c r="B538" s="26" t="s">
        <v>17</v>
      </c>
      <c r="C538" s="26" t="s">
        <v>74</v>
      </c>
      <c r="D538" s="26" t="n">
        <v>480</v>
      </c>
      <c r="E538" s="26" t="n">
        <v>10</v>
      </c>
      <c r="F538" s="26" t="n">
        <v>3193</v>
      </c>
      <c r="G538" s="26" t="n">
        <v>3074</v>
      </c>
      <c r="H538" s="19" t="n">
        <f aca="false">SUMIFS(Paradas!$E$2:$E$1973,Paradas!$A$2:$A$1973,A538,Paradas!$B$2:$B$1973,B538,Paradas!$C$2:$C$1973,C538)</f>
        <v>103</v>
      </c>
      <c r="I538" s="19" t="n">
        <f aca="false">D538-H538</f>
        <v>377</v>
      </c>
      <c r="J538" s="19" t="n">
        <f aca="false">I538*E538</f>
        <v>3770</v>
      </c>
      <c r="K538" s="16" t="n">
        <f aca="false">IF(D538=0,0,I538/D538)</f>
        <v>0.785416666666667</v>
      </c>
      <c r="L538" s="16" t="n">
        <f aca="false">IF(J538=0,0,F538/J538)</f>
        <v>0.846949602122016</v>
      </c>
      <c r="M538" s="16" t="n">
        <f aca="false">IF(F538=0,0,G538/F538)</f>
        <v>0.962730974005637</v>
      </c>
      <c r="N538" s="16" t="n">
        <f aca="false">K538*L538*M538</f>
        <v>0.640416666666667</v>
      </c>
      <c r="O538" s="19" t="n">
        <f aca="false">MONTH(A538)</f>
        <v>8</v>
      </c>
      <c r="P538" s="19" t="n">
        <f aca="false">INT((A538-DATE(2026,7,1))/7)+1</f>
        <v>9</v>
      </c>
    </row>
    <row r="539" customFormat="false" ht="15" hidden="false" customHeight="false" outlineLevel="0" collapsed="false">
      <c r="A539" s="25" t="n">
        <v>46263</v>
      </c>
      <c r="B539" s="26" t="s">
        <v>18</v>
      </c>
      <c r="C539" s="26" t="s">
        <v>72</v>
      </c>
      <c r="D539" s="26" t="n">
        <v>480</v>
      </c>
      <c r="E539" s="26" t="n">
        <v>8</v>
      </c>
      <c r="F539" s="26" t="n">
        <v>3295</v>
      </c>
      <c r="G539" s="26" t="n">
        <v>3198</v>
      </c>
      <c r="H539" s="19" t="n">
        <f aca="false">SUMIFS(Paradas!$E$2:$E$1973,Paradas!$A$2:$A$1973,A539,Paradas!$B$2:$B$1973,B539,Paradas!$C$2:$C$1973,C539)</f>
        <v>0</v>
      </c>
      <c r="I539" s="19" t="n">
        <f aca="false">D539-H539</f>
        <v>480</v>
      </c>
      <c r="J539" s="19" t="n">
        <f aca="false">I539*E539</f>
        <v>3840</v>
      </c>
      <c r="K539" s="16" t="n">
        <f aca="false">IF(D539=0,0,I539/D539)</f>
        <v>1</v>
      </c>
      <c r="L539" s="16" t="n">
        <f aca="false">IF(J539=0,0,F539/J539)</f>
        <v>0.858072916666667</v>
      </c>
      <c r="M539" s="16" t="n">
        <f aca="false">IF(F539=0,0,G539/F539)</f>
        <v>0.970561456752656</v>
      </c>
      <c r="N539" s="16" t="n">
        <f aca="false">K539*L539*M539</f>
        <v>0.8328125</v>
      </c>
      <c r="O539" s="19" t="n">
        <f aca="false">MONTH(A539)</f>
        <v>8</v>
      </c>
      <c r="P539" s="19" t="n">
        <f aca="false">INT((A539-DATE(2026,7,1))/7)+1</f>
        <v>9</v>
      </c>
    </row>
    <row r="540" customFormat="false" ht="15" hidden="false" customHeight="false" outlineLevel="0" collapsed="false">
      <c r="A540" s="25" t="n">
        <v>46263</v>
      </c>
      <c r="B540" s="26" t="s">
        <v>18</v>
      </c>
      <c r="C540" s="26" t="s">
        <v>73</v>
      </c>
      <c r="D540" s="26" t="n">
        <v>480</v>
      </c>
      <c r="E540" s="26" t="n">
        <v>8</v>
      </c>
      <c r="F540" s="26" t="n">
        <v>2894</v>
      </c>
      <c r="G540" s="26" t="n">
        <v>2811</v>
      </c>
      <c r="H540" s="19" t="n">
        <f aca="false">SUMIFS(Paradas!$E$2:$E$1973,Paradas!$A$2:$A$1973,A540,Paradas!$B$2:$B$1973,B540,Paradas!$C$2:$C$1973,C540)</f>
        <v>101</v>
      </c>
      <c r="I540" s="19" t="n">
        <f aca="false">D540-H540</f>
        <v>379</v>
      </c>
      <c r="J540" s="19" t="n">
        <f aca="false">I540*E540</f>
        <v>3032</v>
      </c>
      <c r="K540" s="16" t="n">
        <f aca="false">IF(D540=0,0,I540/D540)</f>
        <v>0.789583333333333</v>
      </c>
      <c r="L540" s="16" t="n">
        <f aca="false">IF(J540=0,0,F540/J540)</f>
        <v>0.954485488126649</v>
      </c>
      <c r="M540" s="16" t="n">
        <f aca="false">IF(F540=0,0,G540/F540)</f>
        <v>0.9713199723566</v>
      </c>
      <c r="N540" s="16" t="n">
        <f aca="false">K540*L540*M540</f>
        <v>0.73203125</v>
      </c>
      <c r="O540" s="19" t="n">
        <f aca="false">MONTH(A540)</f>
        <v>8</v>
      </c>
      <c r="P540" s="19" t="n">
        <f aca="false">INT((A540-DATE(2026,7,1))/7)+1</f>
        <v>9</v>
      </c>
    </row>
    <row r="541" customFormat="false" ht="15" hidden="false" customHeight="false" outlineLevel="0" collapsed="false">
      <c r="A541" s="25" t="n">
        <v>46263</v>
      </c>
      <c r="B541" s="26" t="s">
        <v>18</v>
      </c>
      <c r="C541" s="26" t="s">
        <v>74</v>
      </c>
      <c r="D541" s="26" t="n">
        <v>480</v>
      </c>
      <c r="E541" s="26" t="n">
        <v>8</v>
      </c>
      <c r="F541" s="26" t="n">
        <v>3173</v>
      </c>
      <c r="G541" s="26" t="n">
        <v>3038</v>
      </c>
      <c r="H541" s="19" t="n">
        <f aca="false">SUMIFS(Paradas!$E$2:$E$1973,Paradas!$A$2:$A$1973,A541,Paradas!$B$2:$B$1973,B541,Paradas!$C$2:$C$1973,C541)</f>
        <v>0</v>
      </c>
      <c r="I541" s="19" t="n">
        <f aca="false">D541-H541</f>
        <v>480</v>
      </c>
      <c r="J541" s="19" t="n">
        <f aca="false">I541*E541</f>
        <v>3840</v>
      </c>
      <c r="K541" s="16" t="n">
        <f aca="false">IF(D541=0,0,I541/D541)</f>
        <v>1</v>
      </c>
      <c r="L541" s="16" t="n">
        <f aca="false">IF(J541=0,0,F541/J541)</f>
        <v>0.826302083333333</v>
      </c>
      <c r="M541" s="16" t="n">
        <f aca="false">IF(F541=0,0,G541/F541)</f>
        <v>0.957453514024583</v>
      </c>
      <c r="N541" s="16" t="n">
        <f aca="false">K541*L541*M541</f>
        <v>0.791145833333333</v>
      </c>
      <c r="O541" s="19" t="n">
        <f aca="false">MONTH(A541)</f>
        <v>8</v>
      </c>
      <c r="P541" s="19" t="n">
        <f aca="false">INT((A541-DATE(2026,7,1))/7)+1</f>
        <v>9</v>
      </c>
    </row>
    <row r="542" customFormat="false" ht="15" hidden="false" customHeight="false" outlineLevel="0" collapsed="false">
      <c r="A542" s="25" t="n">
        <v>46264</v>
      </c>
      <c r="B542" s="26" t="s">
        <v>16</v>
      </c>
      <c r="C542" s="26" t="s">
        <v>72</v>
      </c>
      <c r="D542" s="26" t="n">
        <v>480</v>
      </c>
      <c r="E542" s="26" t="n">
        <v>12</v>
      </c>
      <c r="F542" s="26" t="n">
        <v>5053</v>
      </c>
      <c r="G542" s="26" t="n">
        <v>4916</v>
      </c>
      <c r="H542" s="19" t="n">
        <f aca="false">SUMIFS(Paradas!$E$2:$E$1973,Paradas!$A$2:$A$1973,A542,Paradas!$B$2:$B$1973,B542,Paradas!$C$2:$C$1973,C542)</f>
        <v>18</v>
      </c>
      <c r="I542" s="19" t="n">
        <f aca="false">D542-H542</f>
        <v>462</v>
      </c>
      <c r="J542" s="19" t="n">
        <f aca="false">I542*E542</f>
        <v>5544</v>
      </c>
      <c r="K542" s="16" t="n">
        <f aca="false">IF(D542=0,0,I542/D542)</f>
        <v>0.9625</v>
      </c>
      <c r="L542" s="16" t="n">
        <f aca="false">IF(J542=0,0,F542/J542)</f>
        <v>0.911435786435787</v>
      </c>
      <c r="M542" s="16" t="n">
        <f aca="false">IF(F542=0,0,G542/F542)</f>
        <v>0.972887393627548</v>
      </c>
      <c r="N542" s="16" t="n">
        <f aca="false">K542*L542*M542</f>
        <v>0.853472222222222</v>
      </c>
      <c r="O542" s="19" t="n">
        <f aca="false">MONTH(A542)</f>
        <v>8</v>
      </c>
      <c r="P542" s="19" t="n">
        <f aca="false">INT((A542-DATE(2026,7,1))/7)+1</f>
        <v>9</v>
      </c>
    </row>
    <row r="543" customFormat="false" ht="15" hidden="false" customHeight="false" outlineLevel="0" collapsed="false">
      <c r="A543" s="25" t="n">
        <v>46264</v>
      </c>
      <c r="B543" s="26" t="s">
        <v>16</v>
      </c>
      <c r="C543" s="26" t="s">
        <v>73</v>
      </c>
      <c r="D543" s="26" t="n">
        <v>480</v>
      </c>
      <c r="E543" s="26" t="n">
        <v>12</v>
      </c>
      <c r="F543" s="26" t="n">
        <v>3881</v>
      </c>
      <c r="G543" s="26" t="n">
        <v>3810</v>
      </c>
      <c r="H543" s="19" t="n">
        <f aca="false">SUMIFS(Paradas!$E$2:$E$1973,Paradas!$A$2:$A$1973,A543,Paradas!$B$2:$B$1973,B543,Paradas!$C$2:$C$1973,C543)</f>
        <v>102</v>
      </c>
      <c r="I543" s="19" t="n">
        <f aca="false">D543-H543</f>
        <v>378</v>
      </c>
      <c r="J543" s="19" t="n">
        <f aca="false">I543*E543</f>
        <v>4536</v>
      </c>
      <c r="K543" s="16" t="n">
        <f aca="false">IF(D543=0,0,I543/D543)</f>
        <v>0.7875</v>
      </c>
      <c r="L543" s="16" t="n">
        <f aca="false">IF(J543=0,0,F543/J543)</f>
        <v>0.855599647266314</v>
      </c>
      <c r="M543" s="16" t="n">
        <f aca="false">IF(F543=0,0,G543/F543)</f>
        <v>0.981705745941768</v>
      </c>
      <c r="N543" s="16" t="n">
        <f aca="false">K543*L543*M543</f>
        <v>0.661458333333333</v>
      </c>
      <c r="O543" s="19" t="n">
        <f aca="false">MONTH(A543)</f>
        <v>8</v>
      </c>
      <c r="P543" s="19" t="n">
        <f aca="false">INT((A543-DATE(2026,7,1))/7)+1</f>
        <v>9</v>
      </c>
    </row>
    <row r="544" customFormat="false" ht="15" hidden="false" customHeight="false" outlineLevel="0" collapsed="false">
      <c r="A544" s="25" t="n">
        <v>46264</v>
      </c>
      <c r="B544" s="26" t="s">
        <v>16</v>
      </c>
      <c r="C544" s="26" t="s">
        <v>74</v>
      </c>
      <c r="D544" s="26" t="n">
        <v>480</v>
      </c>
      <c r="E544" s="26" t="n">
        <v>12</v>
      </c>
      <c r="F544" s="26" t="n">
        <v>2670</v>
      </c>
      <c r="G544" s="26" t="n">
        <v>2665</v>
      </c>
      <c r="H544" s="19" t="n">
        <f aca="false">SUMIFS(Paradas!$E$2:$E$1973,Paradas!$A$2:$A$1973,A544,Paradas!$B$2:$B$1973,B544,Paradas!$C$2:$C$1973,C544)</f>
        <v>211</v>
      </c>
      <c r="I544" s="19" t="n">
        <f aca="false">D544-H544</f>
        <v>269</v>
      </c>
      <c r="J544" s="19" t="n">
        <f aca="false">I544*E544</f>
        <v>3228</v>
      </c>
      <c r="K544" s="16" t="n">
        <f aca="false">IF(D544=0,0,I544/D544)</f>
        <v>0.560416666666667</v>
      </c>
      <c r="L544" s="16" t="n">
        <f aca="false">IF(J544=0,0,F544/J544)</f>
        <v>0.827137546468402</v>
      </c>
      <c r="M544" s="16" t="n">
        <f aca="false">IF(F544=0,0,G544/F544)</f>
        <v>0.99812734082397</v>
      </c>
      <c r="N544" s="16" t="n">
        <f aca="false">K544*L544*M544</f>
        <v>0.462673611111111</v>
      </c>
      <c r="O544" s="19" t="n">
        <f aca="false">MONTH(A544)</f>
        <v>8</v>
      </c>
      <c r="P544" s="19" t="n">
        <f aca="false">INT((A544-DATE(2026,7,1))/7)+1</f>
        <v>9</v>
      </c>
    </row>
    <row r="545" customFormat="false" ht="15" hidden="false" customHeight="false" outlineLevel="0" collapsed="false">
      <c r="A545" s="25" t="n">
        <v>46264</v>
      </c>
      <c r="B545" s="26" t="s">
        <v>17</v>
      </c>
      <c r="C545" s="26" t="s">
        <v>72</v>
      </c>
      <c r="D545" s="26" t="n">
        <v>480</v>
      </c>
      <c r="E545" s="26" t="n">
        <v>10</v>
      </c>
      <c r="F545" s="26" t="n">
        <v>3724</v>
      </c>
      <c r="G545" s="26" t="n">
        <v>3540</v>
      </c>
      <c r="H545" s="19" t="n">
        <f aca="false">SUMIFS(Paradas!$E$2:$E$1973,Paradas!$A$2:$A$1973,A545,Paradas!$B$2:$B$1973,B545,Paradas!$C$2:$C$1973,C545)</f>
        <v>50</v>
      </c>
      <c r="I545" s="19" t="n">
        <f aca="false">D545-H545</f>
        <v>430</v>
      </c>
      <c r="J545" s="19" t="n">
        <f aca="false">I545*E545</f>
        <v>4300</v>
      </c>
      <c r="K545" s="16" t="n">
        <f aca="false">IF(D545=0,0,I545/D545)</f>
        <v>0.895833333333333</v>
      </c>
      <c r="L545" s="16" t="n">
        <f aca="false">IF(J545=0,0,F545/J545)</f>
        <v>0.866046511627907</v>
      </c>
      <c r="M545" s="16" t="n">
        <f aca="false">IF(F545=0,0,G545/F545)</f>
        <v>0.950590762620838</v>
      </c>
      <c r="N545" s="16" t="n">
        <f aca="false">K545*L545*M545</f>
        <v>0.7375</v>
      </c>
      <c r="O545" s="19" t="n">
        <f aca="false">MONTH(A545)</f>
        <v>8</v>
      </c>
      <c r="P545" s="19" t="n">
        <f aca="false">INT((A545-DATE(2026,7,1))/7)+1</f>
        <v>9</v>
      </c>
    </row>
    <row r="546" customFormat="false" ht="15" hidden="false" customHeight="false" outlineLevel="0" collapsed="false">
      <c r="A546" s="25" t="n">
        <v>46264</v>
      </c>
      <c r="B546" s="26" t="s">
        <v>17</v>
      </c>
      <c r="C546" s="26" t="s">
        <v>73</v>
      </c>
      <c r="D546" s="26" t="n">
        <v>480</v>
      </c>
      <c r="E546" s="26" t="n">
        <v>10</v>
      </c>
      <c r="F546" s="26" t="n">
        <v>2708</v>
      </c>
      <c r="G546" s="26" t="n">
        <v>2530</v>
      </c>
      <c r="H546" s="19" t="n">
        <f aca="false">SUMIFS(Paradas!$E$2:$E$1973,Paradas!$A$2:$A$1973,A546,Paradas!$B$2:$B$1973,B546,Paradas!$C$2:$C$1973,C546)</f>
        <v>173</v>
      </c>
      <c r="I546" s="19" t="n">
        <f aca="false">D546-H546</f>
        <v>307</v>
      </c>
      <c r="J546" s="19" t="n">
        <f aca="false">I546*E546</f>
        <v>3070</v>
      </c>
      <c r="K546" s="16" t="n">
        <f aca="false">IF(D546=0,0,I546/D546)</f>
        <v>0.639583333333333</v>
      </c>
      <c r="L546" s="16" t="n">
        <f aca="false">IF(J546=0,0,F546/J546)</f>
        <v>0.882084690553746</v>
      </c>
      <c r="M546" s="16" t="n">
        <f aca="false">IF(F546=0,0,G546/F546)</f>
        <v>0.934268833087149</v>
      </c>
      <c r="N546" s="16" t="n">
        <f aca="false">K546*L546*M546</f>
        <v>0.527083333333333</v>
      </c>
      <c r="O546" s="19" t="n">
        <f aca="false">MONTH(A546)</f>
        <v>8</v>
      </c>
      <c r="P546" s="19" t="n">
        <f aca="false">INT((A546-DATE(2026,7,1))/7)+1</f>
        <v>9</v>
      </c>
    </row>
    <row r="547" customFormat="false" ht="15" hidden="false" customHeight="false" outlineLevel="0" collapsed="false">
      <c r="A547" s="25" t="n">
        <v>46264</v>
      </c>
      <c r="B547" s="26" t="s">
        <v>17</v>
      </c>
      <c r="C547" s="26" t="s">
        <v>74</v>
      </c>
      <c r="D547" s="26" t="n">
        <v>480</v>
      </c>
      <c r="E547" s="26" t="n">
        <v>10</v>
      </c>
      <c r="F547" s="26" t="n">
        <v>3407</v>
      </c>
      <c r="G547" s="26" t="n">
        <v>3273</v>
      </c>
      <c r="H547" s="19" t="n">
        <f aca="false">SUMIFS(Paradas!$E$2:$E$1973,Paradas!$A$2:$A$1973,A547,Paradas!$B$2:$B$1973,B547,Paradas!$C$2:$C$1973,C547)</f>
        <v>74</v>
      </c>
      <c r="I547" s="19" t="n">
        <f aca="false">D547-H547</f>
        <v>406</v>
      </c>
      <c r="J547" s="19" t="n">
        <f aca="false">I547*E547</f>
        <v>4060</v>
      </c>
      <c r="K547" s="16" t="n">
        <f aca="false">IF(D547=0,0,I547/D547)</f>
        <v>0.845833333333333</v>
      </c>
      <c r="L547" s="16" t="n">
        <f aca="false">IF(J547=0,0,F547/J547)</f>
        <v>0.839162561576355</v>
      </c>
      <c r="M547" s="16" t="n">
        <f aca="false">IF(F547=0,0,G547/F547)</f>
        <v>0.960669210449075</v>
      </c>
      <c r="N547" s="16" t="n">
        <f aca="false">K547*L547*M547</f>
        <v>0.681875</v>
      </c>
      <c r="O547" s="19" t="n">
        <f aca="false">MONTH(A547)</f>
        <v>8</v>
      </c>
      <c r="P547" s="19" t="n">
        <f aca="false">INT((A547-DATE(2026,7,1))/7)+1</f>
        <v>9</v>
      </c>
    </row>
    <row r="548" customFormat="false" ht="15" hidden="false" customHeight="false" outlineLevel="0" collapsed="false">
      <c r="A548" s="25" t="n">
        <v>46264</v>
      </c>
      <c r="B548" s="26" t="s">
        <v>18</v>
      </c>
      <c r="C548" s="26" t="s">
        <v>72</v>
      </c>
      <c r="D548" s="26" t="n">
        <v>480</v>
      </c>
      <c r="E548" s="26" t="n">
        <v>8</v>
      </c>
      <c r="F548" s="26" t="n">
        <v>3210</v>
      </c>
      <c r="G548" s="26" t="n">
        <v>3081</v>
      </c>
      <c r="H548" s="19" t="n">
        <f aca="false">SUMIFS(Paradas!$E$2:$E$1973,Paradas!$A$2:$A$1973,A548,Paradas!$B$2:$B$1973,B548,Paradas!$C$2:$C$1973,C548)</f>
        <v>32</v>
      </c>
      <c r="I548" s="19" t="n">
        <f aca="false">D548-H548</f>
        <v>448</v>
      </c>
      <c r="J548" s="19" t="n">
        <f aca="false">I548*E548</f>
        <v>3584</v>
      </c>
      <c r="K548" s="16" t="n">
        <f aca="false">IF(D548=0,0,I548/D548)</f>
        <v>0.933333333333333</v>
      </c>
      <c r="L548" s="16" t="n">
        <f aca="false">IF(J548=0,0,F548/J548)</f>
        <v>0.895647321428571</v>
      </c>
      <c r="M548" s="16" t="n">
        <f aca="false">IF(F548=0,0,G548/F548)</f>
        <v>0.95981308411215</v>
      </c>
      <c r="N548" s="16" t="n">
        <f aca="false">K548*L548*M548</f>
        <v>0.80234375</v>
      </c>
      <c r="O548" s="19" t="n">
        <f aca="false">MONTH(A548)</f>
        <v>8</v>
      </c>
      <c r="P548" s="19" t="n">
        <f aca="false">INT((A548-DATE(2026,7,1))/7)+1</f>
        <v>9</v>
      </c>
    </row>
    <row r="549" customFormat="false" ht="15" hidden="false" customHeight="false" outlineLevel="0" collapsed="false">
      <c r="A549" s="25" t="n">
        <v>46264</v>
      </c>
      <c r="B549" s="26" t="s">
        <v>18</v>
      </c>
      <c r="C549" s="26" t="s">
        <v>73</v>
      </c>
      <c r="D549" s="26" t="n">
        <v>480</v>
      </c>
      <c r="E549" s="26" t="n">
        <v>8</v>
      </c>
      <c r="F549" s="26" t="n">
        <v>2915</v>
      </c>
      <c r="G549" s="26" t="n">
        <v>2831</v>
      </c>
      <c r="H549" s="19" t="n">
        <f aca="false">SUMIFS(Paradas!$E$2:$E$1973,Paradas!$A$2:$A$1973,A549,Paradas!$B$2:$B$1973,B549,Paradas!$C$2:$C$1973,C549)</f>
        <v>50</v>
      </c>
      <c r="I549" s="19" t="n">
        <f aca="false">D549-H549</f>
        <v>430</v>
      </c>
      <c r="J549" s="19" t="n">
        <f aca="false">I549*E549</f>
        <v>3440</v>
      </c>
      <c r="K549" s="16" t="n">
        <f aca="false">IF(D549=0,0,I549/D549)</f>
        <v>0.895833333333333</v>
      </c>
      <c r="L549" s="16" t="n">
        <f aca="false">IF(J549=0,0,F549/J549)</f>
        <v>0.847383720930233</v>
      </c>
      <c r="M549" s="16" t="n">
        <f aca="false">IF(F549=0,0,G549/F549)</f>
        <v>0.971183533447684</v>
      </c>
      <c r="N549" s="16" t="n">
        <f aca="false">K549*L549*M549</f>
        <v>0.737239583333333</v>
      </c>
      <c r="O549" s="19" t="n">
        <f aca="false">MONTH(A549)</f>
        <v>8</v>
      </c>
      <c r="P549" s="19" t="n">
        <f aca="false">INT((A549-DATE(2026,7,1))/7)+1</f>
        <v>9</v>
      </c>
    </row>
    <row r="550" customFormat="false" ht="15" hidden="false" customHeight="false" outlineLevel="0" collapsed="false">
      <c r="A550" s="25" t="n">
        <v>46264</v>
      </c>
      <c r="B550" s="26" t="s">
        <v>18</v>
      </c>
      <c r="C550" s="26" t="s">
        <v>74</v>
      </c>
      <c r="D550" s="26" t="n">
        <v>480</v>
      </c>
      <c r="E550" s="26" t="n">
        <v>8</v>
      </c>
      <c r="F550" s="26" t="n">
        <v>2438</v>
      </c>
      <c r="G550" s="26" t="n">
        <v>2380</v>
      </c>
      <c r="H550" s="19" t="n">
        <f aca="false">SUMIFS(Paradas!$E$2:$E$1973,Paradas!$A$2:$A$1973,A550,Paradas!$B$2:$B$1973,B550,Paradas!$C$2:$C$1973,C550)</f>
        <v>134</v>
      </c>
      <c r="I550" s="19" t="n">
        <f aca="false">D550-H550</f>
        <v>346</v>
      </c>
      <c r="J550" s="19" t="n">
        <f aca="false">I550*E550</f>
        <v>2768</v>
      </c>
      <c r="K550" s="16" t="n">
        <f aca="false">IF(D550=0,0,I550/D550)</f>
        <v>0.720833333333333</v>
      </c>
      <c r="L550" s="16" t="n">
        <f aca="false">IF(J550=0,0,F550/J550)</f>
        <v>0.880780346820809</v>
      </c>
      <c r="M550" s="16" t="n">
        <f aca="false">IF(F550=0,0,G550/F550)</f>
        <v>0.976210008203446</v>
      </c>
      <c r="N550" s="16" t="n">
        <f aca="false">K550*L550*M550</f>
        <v>0.619791666666667</v>
      </c>
      <c r="O550" s="19" t="n">
        <f aca="false">MONTH(A550)</f>
        <v>8</v>
      </c>
      <c r="P550" s="19" t="n">
        <f aca="false">INT((A550-DATE(2026,7,1))/7)+1</f>
        <v>9</v>
      </c>
    </row>
    <row r="551" customFormat="false" ht="15" hidden="false" customHeight="false" outlineLevel="0" collapsed="false">
      <c r="A551" s="25" t="n">
        <v>46265</v>
      </c>
      <c r="B551" s="26" t="s">
        <v>16</v>
      </c>
      <c r="C551" s="26" t="s">
        <v>72</v>
      </c>
      <c r="D551" s="26" t="n">
        <v>480</v>
      </c>
      <c r="E551" s="26" t="n">
        <v>12</v>
      </c>
      <c r="F551" s="26" t="n">
        <v>5213</v>
      </c>
      <c r="G551" s="26" t="n">
        <v>5203</v>
      </c>
      <c r="H551" s="19" t="n">
        <f aca="false">SUMIFS(Paradas!$E$2:$E$1973,Paradas!$A$2:$A$1973,A551,Paradas!$B$2:$B$1973,B551,Paradas!$C$2:$C$1973,C551)</f>
        <v>0</v>
      </c>
      <c r="I551" s="19" t="n">
        <f aca="false">D551-H551</f>
        <v>480</v>
      </c>
      <c r="J551" s="19" t="n">
        <f aca="false">I551*E551</f>
        <v>5760</v>
      </c>
      <c r="K551" s="16" t="n">
        <f aca="false">IF(D551=0,0,I551/D551)</f>
        <v>1</v>
      </c>
      <c r="L551" s="16" t="n">
        <f aca="false">IF(J551=0,0,F551/J551)</f>
        <v>0.905034722222222</v>
      </c>
      <c r="M551" s="16" t="n">
        <f aca="false">IF(F551=0,0,G551/F551)</f>
        <v>0.998081718779973</v>
      </c>
      <c r="N551" s="16" t="n">
        <f aca="false">K551*L551*M551</f>
        <v>0.903298611111111</v>
      </c>
      <c r="O551" s="19" t="n">
        <f aca="false">MONTH(A551)</f>
        <v>8</v>
      </c>
      <c r="P551" s="19" t="n">
        <f aca="false">INT((A551-DATE(2026,7,1))/7)+1</f>
        <v>9</v>
      </c>
    </row>
    <row r="552" customFormat="false" ht="15" hidden="false" customHeight="false" outlineLevel="0" collapsed="false">
      <c r="A552" s="25" t="n">
        <v>46265</v>
      </c>
      <c r="B552" s="26" t="s">
        <v>16</v>
      </c>
      <c r="C552" s="26" t="s">
        <v>73</v>
      </c>
      <c r="D552" s="26" t="n">
        <v>480</v>
      </c>
      <c r="E552" s="26" t="n">
        <v>12</v>
      </c>
      <c r="F552" s="26" t="n">
        <v>4126</v>
      </c>
      <c r="G552" s="26" t="n">
        <v>4083</v>
      </c>
      <c r="H552" s="19" t="n">
        <f aca="false">SUMIFS(Paradas!$E$2:$E$1973,Paradas!$A$2:$A$1973,A552,Paradas!$B$2:$B$1973,B552,Paradas!$C$2:$C$1973,C552)</f>
        <v>100</v>
      </c>
      <c r="I552" s="19" t="n">
        <f aca="false">D552-H552</f>
        <v>380</v>
      </c>
      <c r="J552" s="19" t="n">
        <f aca="false">I552*E552</f>
        <v>4560</v>
      </c>
      <c r="K552" s="16" t="n">
        <f aca="false">IF(D552=0,0,I552/D552)</f>
        <v>0.791666666666667</v>
      </c>
      <c r="L552" s="16" t="n">
        <f aca="false">IF(J552=0,0,F552/J552)</f>
        <v>0.904824561403509</v>
      </c>
      <c r="M552" s="16" t="n">
        <f aca="false">IF(F552=0,0,G552/F552)</f>
        <v>0.989578284052351</v>
      </c>
      <c r="N552" s="16" t="n">
        <f aca="false">K552*L552*M552</f>
        <v>0.708854166666667</v>
      </c>
      <c r="O552" s="19" t="n">
        <f aca="false">MONTH(A552)</f>
        <v>8</v>
      </c>
      <c r="P552" s="19" t="n">
        <f aca="false">INT((A552-DATE(2026,7,1))/7)+1</f>
        <v>9</v>
      </c>
    </row>
    <row r="553" customFormat="false" ht="15" hidden="false" customHeight="false" outlineLevel="0" collapsed="false">
      <c r="A553" s="25" t="n">
        <v>46265</v>
      </c>
      <c r="B553" s="26" t="s">
        <v>16</v>
      </c>
      <c r="C553" s="26" t="s">
        <v>74</v>
      </c>
      <c r="D553" s="26" t="n">
        <v>480</v>
      </c>
      <c r="E553" s="26" t="n">
        <v>12</v>
      </c>
      <c r="F553" s="26" t="n">
        <v>3742</v>
      </c>
      <c r="G553" s="26" t="n">
        <v>3663</v>
      </c>
      <c r="H553" s="19" t="n">
        <f aca="false">SUMIFS(Paradas!$E$2:$E$1973,Paradas!$A$2:$A$1973,A553,Paradas!$B$2:$B$1973,B553,Paradas!$C$2:$C$1973,C553)</f>
        <v>108</v>
      </c>
      <c r="I553" s="19" t="n">
        <f aca="false">D553-H553</f>
        <v>372</v>
      </c>
      <c r="J553" s="19" t="n">
        <f aca="false">I553*E553</f>
        <v>4464</v>
      </c>
      <c r="K553" s="16" t="n">
        <f aca="false">IF(D553=0,0,I553/D553)</f>
        <v>0.775</v>
      </c>
      <c r="L553" s="16" t="n">
        <f aca="false">IF(J553=0,0,F553/J553)</f>
        <v>0.83826164874552</v>
      </c>
      <c r="M553" s="16" t="n">
        <f aca="false">IF(F553=0,0,G553/F553)</f>
        <v>0.978888295029396</v>
      </c>
      <c r="N553" s="16" t="n">
        <f aca="false">K553*L553*M553</f>
        <v>0.6359375</v>
      </c>
      <c r="O553" s="19" t="n">
        <f aca="false">MONTH(A553)</f>
        <v>8</v>
      </c>
      <c r="P553" s="19" t="n">
        <f aca="false">INT((A553-DATE(2026,7,1))/7)+1</f>
        <v>9</v>
      </c>
    </row>
    <row r="554" customFormat="false" ht="15" hidden="false" customHeight="false" outlineLevel="0" collapsed="false">
      <c r="A554" s="25" t="n">
        <v>46265</v>
      </c>
      <c r="B554" s="26" t="s">
        <v>17</v>
      </c>
      <c r="C554" s="26" t="s">
        <v>72</v>
      </c>
      <c r="D554" s="26" t="n">
        <v>480</v>
      </c>
      <c r="E554" s="26" t="n">
        <v>10</v>
      </c>
      <c r="F554" s="26" t="n">
        <v>3454</v>
      </c>
      <c r="G554" s="26" t="n">
        <v>3348</v>
      </c>
      <c r="H554" s="19" t="n">
        <f aca="false">SUMIFS(Paradas!$E$2:$E$1973,Paradas!$A$2:$A$1973,A554,Paradas!$B$2:$B$1973,B554,Paradas!$C$2:$C$1973,C554)</f>
        <v>81</v>
      </c>
      <c r="I554" s="19" t="n">
        <f aca="false">D554-H554</f>
        <v>399</v>
      </c>
      <c r="J554" s="19" t="n">
        <f aca="false">I554*E554</f>
        <v>3990</v>
      </c>
      <c r="K554" s="16" t="n">
        <f aca="false">IF(D554=0,0,I554/D554)</f>
        <v>0.83125</v>
      </c>
      <c r="L554" s="16" t="n">
        <f aca="false">IF(J554=0,0,F554/J554)</f>
        <v>0.865664160401003</v>
      </c>
      <c r="M554" s="16" t="n">
        <f aca="false">IF(F554=0,0,G554/F554)</f>
        <v>0.969310943833237</v>
      </c>
      <c r="N554" s="16" t="n">
        <f aca="false">K554*L554*M554</f>
        <v>0.6975</v>
      </c>
      <c r="O554" s="19" t="n">
        <f aca="false">MONTH(A554)</f>
        <v>8</v>
      </c>
      <c r="P554" s="19" t="n">
        <f aca="false">INT((A554-DATE(2026,7,1))/7)+1</f>
        <v>9</v>
      </c>
    </row>
    <row r="555" customFormat="false" ht="15" hidden="false" customHeight="false" outlineLevel="0" collapsed="false">
      <c r="A555" s="25" t="n">
        <v>46265</v>
      </c>
      <c r="B555" s="26" t="s">
        <v>17</v>
      </c>
      <c r="C555" s="26" t="s">
        <v>73</v>
      </c>
      <c r="D555" s="26" t="n">
        <v>480</v>
      </c>
      <c r="E555" s="26" t="n">
        <v>10</v>
      </c>
      <c r="F555" s="26" t="n">
        <v>4287</v>
      </c>
      <c r="G555" s="26" t="n">
        <v>4095</v>
      </c>
      <c r="H555" s="19" t="n">
        <f aca="false">SUMIFS(Paradas!$E$2:$E$1973,Paradas!$A$2:$A$1973,A555,Paradas!$B$2:$B$1973,B555,Paradas!$C$2:$C$1973,C555)</f>
        <v>22</v>
      </c>
      <c r="I555" s="19" t="n">
        <f aca="false">D555-H555</f>
        <v>458</v>
      </c>
      <c r="J555" s="19" t="n">
        <f aca="false">I555*E555</f>
        <v>4580</v>
      </c>
      <c r="K555" s="16" t="n">
        <f aca="false">IF(D555=0,0,I555/D555)</f>
        <v>0.954166666666667</v>
      </c>
      <c r="L555" s="16" t="n">
        <f aca="false">IF(J555=0,0,F555/J555)</f>
        <v>0.936026200873362</v>
      </c>
      <c r="M555" s="16" t="n">
        <f aca="false">IF(F555=0,0,G555/F555)</f>
        <v>0.955213435969209</v>
      </c>
      <c r="N555" s="16" t="n">
        <f aca="false">K555*L555*M555</f>
        <v>0.853125</v>
      </c>
      <c r="O555" s="19" t="n">
        <f aca="false">MONTH(A555)</f>
        <v>8</v>
      </c>
      <c r="P555" s="19" t="n">
        <f aca="false">INT((A555-DATE(2026,7,1))/7)+1</f>
        <v>9</v>
      </c>
    </row>
    <row r="556" customFormat="false" ht="15" hidden="false" customHeight="false" outlineLevel="0" collapsed="false">
      <c r="A556" s="25" t="n">
        <v>46265</v>
      </c>
      <c r="B556" s="26" t="s">
        <v>17</v>
      </c>
      <c r="C556" s="26" t="s">
        <v>74</v>
      </c>
      <c r="D556" s="26" t="n">
        <v>480</v>
      </c>
      <c r="E556" s="26" t="n">
        <v>10</v>
      </c>
      <c r="F556" s="26" t="n">
        <v>2452</v>
      </c>
      <c r="G556" s="26" t="n">
        <v>2345</v>
      </c>
      <c r="H556" s="19" t="n">
        <f aca="false">SUMIFS(Paradas!$E$2:$E$1973,Paradas!$A$2:$A$1973,A556,Paradas!$B$2:$B$1973,B556,Paradas!$C$2:$C$1973,C556)</f>
        <v>170</v>
      </c>
      <c r="I556" s="19" t="n">
        <f aca="false">D556-H556</f>
        <v>310</v>
      </c>
      <c r="J556" s="19" t="n">
        <f aca="false">I556*E556</f>
        <v>3100</v>
      </c>
      <c r="K556" s="16" t="n">
        <f aca="false">IF(D556=0,0,I556/D556)</f>
        <v>0.645833333333333</v>
      </c>
      <c r="L556" s="16" t="n">
        <f aca="false">IF(J556=0,0,F556/J556)</f>
        <v>0.790967741935484</v>
      </c>
      <c r="M556" s="16" t="n">
        <f aca="false">IF(F556=0,0,G556/F556)</f>
        <v>0.956362153344209</v>
      </c>
      <c r="N556" s="16" t="n">
        <f aca="false">K556*L556*M556</f>
        <v>0.488541666666667</v>
      </c>
      <c r="O556" s="19" t="n">
        <f aca="false">MONTH(A556)</f>
        <v>8</v>
      </c>
      <c r="P556" s="19" t="n">
        <f aca="false">INT((A556-DATE(2026,7,1))/7)+1</f>
        <v>9</v>
      </c>
    </row>
    <row r="557" customFormat="false" ht="15" hidden="false" customHeight="false" outlineLevel="0" collapsed="false">
      <c r="A557" s="25" t="n">
        <v>46265</v>
      </c>
      <c r="B557" s="26" t="s">
        <v>18</v>
      </c>
      <c r="C557" s="26" t="s">
        <v>72</v>
      </c>
      <c r="D557" s="26" t="n">
        <v>480</v>
      </c>
      <c r="E557" s="26" t="n">
        <v>8</v>
      </c>
      <c r="F557" s="26" t="n">
        <v>3154</v>
      </c>
      <c r="G557" s="26" t="n">
        <v>3040</v>
      </c>
      <c r="H557" s="19" t="n">
        <f aca="false">SUMIFS(Paradas!$E$2:$E$1973,Paradas!$A$2:$A$1973,A557,Paradas!$B$2:$B$1973,B557,Paradas!$C$2:$C$1973,C557)</f>
        <v>40</v>
      </c>
      <c r="I557" s="19" t="n">
        <f aca="false">D557-H557</f>
        <v>440</v>
      </c>
      <c r="J557" s="19" t="n">
        <f aca="false">I557*E557</f>
        <v>3520</v>
      </c>
      <c r="K557" s="16" t="n">
        <f aca="false">IF(D557=0,0,I557/D557)</f>
        <v>0.916666666666667</v>
      </c>
      <c r="L557" s="16" t="n">
        <f aca="false">IF(J557=0,0,F557/J557)</f>
        <v>0.896022727272727</v>
      </c>
      <c r="M557" s="16" t="n">
        <f aca="false">IF(F557=0,0,G557/F557)</f>
        <v>0.963855421686747</v>
      </c>
      <c r="N557" s="16" t="n">
        <f aca="false">K557*L557*M557</f>
        <v>0.791666666666667</v>
      </c>
      <c r="O557" s="19" t="n">
        <f aca="false">MONTH(A557)</f>
        <v>8</v>
      </c>
      <c r="P557" s="19" t="n">
        <f aca="false">INT((A557-DATE(2026,7,1))/7)+1</f>
        <v>9</v>
      </c>
    </row>
    <row r="558" customFormat="false" ht="15" hidden="false" customHeight="false" outlineLevel="0" collapsed="false">
      <c r="A558" s="25" t="n">
        <v>46265</v>
      </c>
      <c r="B558" s="26" t="s">
        <v>18</v>
      </c>
      <c r="C558" s="26" t="s">
        <v>73</v>
      </c>
      <c r="D558" s="26" t="n">
        <v>480</v>
      </c>
      <c r="E558" s="26" t="n">
        <v>8</v>
      </c>
      <c r="F558" s="26" t="n">
        <v>2352</v>
      </c>
      <c r="G558" s="26" t="n">
        <v>2268</v>
      </c>
      <c r="H558" s="19" t="n">
        <f aca="false">SUMIFS(Paradas!$E$2:$E$1973,Paradas!$A$2:$A$1973,A558,Paradas!$B$2:$B$1973,B558,Paradas!$C$2:$C$1973,C558)</f>
        <v>140</v>
      </c>
      <c r="I558" s="19" t="n">
        <f aca="false">D558-H558</f>
        <v>340</v>
      </c>
      <c r="J558" s="19" t="n">
        <f aca="false">I558*E558</f>
        <v>2720</v>
      </c>
      <c r="K558" s="16" t="n">
        <f aca="false">IF(D558=0,0,I558/D558)</f>
        <v>0.708333333333333</v>
      </c>
      <c r="L558" s="16" t="n">
        <f aca="false">IF(J558=0,0,F558/J558)</f>
        <v>0.864705882352941</v>
      </c>
      <c r="M558" s="16" t="n">
        <f aca="false">IF(F558=0,0,G558/F558)</f>
        <v>0.964285714285714</v>
      </c>
      <c r="N558" s="16" t="n">
        <f aca="false">K558*L558*M558</f>
        <v>0.590625</v>
      </c>
      <c r="O558" s="19" t="n">
        <f aca="false">MONTH(A558)</f>
        <v>8</v>
      </c>
      <c r="P558" s="19" t="n">
        <f aca="false">INT((A558-DATE(2026,7,1))/7)+1</f>
        <v>9</v>
      </c>
    </row>
    <row r="559" customFormat="false" ht="15" hidden="false" customHeight="false" outlineLevel="0" collapsed="false">
      <c r="A559" s="25" t="n">
        <v>46265</v>
      </c>
      <c r="B559" s="26" t="s">
        <v>18</v>
      </c>
      <c r="C559" s="26" t="s">
        <v>74</v>
      </c>
      <c r="D559" s="26" t="n">
        <v>480</v>
      </c>
      <c r="E559" s="26" t="n">
        <v>8</v>
      </c>
      <c r="F559" s="26" t="n">
        <v>3214</v>
      </c>
      <c r="G559" s="26" t="n">
        <v>3126</v>
      </c>
      <c r="H559" s="19" t="n">
        <f aca="false">SUMIFS(Paradas!$E$2:$E$1973,Paradas!$A$2:$A$1973,A559,Paradas!$B$2:$B$1973,B559,Paradas!$C$2:$C$1973,C559)</f>
        <v>0</v>
      </c>
      <c r="I559" s="19" t="n">
        <f aca="false">D559-H559</f>
        <v>480</v>
      </c>
      <c r="J559" s="19" t="n">
        <f aca="false">I559*E559</f>
        <v>3840</v>
      </c>
      <c r="K559" s="16" t="n">
        <f aca="false">IF(D559=0,0,I559/D559)</f>
        <v>1</v>
      </c>
      <c r="L559" s="16" t="n">
        <f aca="false">IF(J559=0,0,F559/J559)</f>
        <v>0.836979166666667</v>
      </c>
      <c r="M559" s="16" t="n">
        <f aca="false">IF(F559=0,0,G559/F559)</f>
        <v>0.972619788425638</v>
      </c>
      <c r="N559" s="16" t="n">
        <f aca="false">K559*L559*M559</f>
        <v>0.8140625</v>
      </c>
      <c r="O559" s="19" t="n">
        <f aca="false">MONTH(A559)</f>
        <v>8</v>
      </c>
      <c r="P559" s="19" t="n">
        <f aca="false">INT((A559-DATE(2026,7,1))/7)+1</f>
        <v>9</v>
      </c>
    </row>
    <row r="560" customFormat="false" ht="15" hidden="false" customHeight="false" outlineLevel="0" collapsed="false">
      <c r="A560" s="25" t="n">
        <v>46266</v>
      </c>
      <c r="B560" s="26" t="s">
        <v>16</v>
      </c>
      <c r="C560" s="26" t="s">
        <v>72</v>
      </c>
      <c r="D560" s="26" t="n">
        <v>480</v>
      </c>
      <c r="E560" s="26" t="n">
        <v>12</v>
      </c>
      <c r="F560" s="26" t="n">
        <v>4836</v>
      </c>
      <c r="G560" s="26" t="n">
        <v>4772</v>
      </c>
      <c r="H560" s="19" t="n">
        <f aca="false">SUMIFS(Paradas!$E$2:$E$1973,Paradas!$A$2:$A$1973,A560,Paradas!$B$2:$B$1973,B560,Paradas!$C$2:$C$1973,C560)</f>
        <v>48</v>
      </c>
      <c r="I560" s="19" t="n">
        <f aca="false">D560-H560</f>
        <v>432</v>
      </c>
      <c r="J560" s="19" t="n">
        <f aca="false">I560*E560</f>
        <v>5184</v>
      </c>
      <c r="K560" s="16" t="n">
        <f aca="false">IF(D560=0,0,I560/D560)</f>
        <v>0.9</v>
      </c>
      <c r="L560" s="16" t="n">
        <f aca="false">IF(J560=0,0,F560/J560)</f>
        <v>0.93287037037037</v>
      </c>
      <c r="M560" s="16" t="n">
        <f aca="false">IF(F560=0,0,G560/F560)</f>
        <v>0.986765922249793</v>
      </c>
      <c r="N560" s="16" t="n">
        <f aca="false">K560*L560*M560</f>
        <v>0.828472222222222</v>
      </c>
      <c r="O560" s="19" t="n">
        <f aca="false">MONTH(A560)</f>
        <v>9</v>
      </c>
      <c r="P560" s="19" t="n">
        <f aca="false">INT((A560-DATE(2026,7,1))/7)+1</f>
        <v>9</v>
      </c>
    </row>
    <row r="561" customFormat="false" ht="15" hidden="false" customHeight="false" outlineLevel="0" collapsed="false">
      <c r="A561" s="25" t="n">
        <v>46266</v>
      </c>
      <c r="B561" s="26" t="s">
        <v>16</v>
      </c>
      <c r="C561" s="26" t="s">
        <v>73</v>
      </c>
      <c r="D561" s="26" t="n">
        <v>480</v>
      </c>
      <c r="E561" s="26" t="n">
        <v>12</v>
      </c>
      <c r="F561" s="26" t="n">
        <v>4073</v>
      </c>
      <c r="G561" s="26" t="n">
        <v>3948</v>
      </c>
      <c r="H561" s="19" t="n">
        <f aca="false">SUMIFS(Paradas!$E$2:$E$1973,Paradas!$A$2:$A$1973,A561,Paradas!$B$2:$B$1973,B561,Paradas!$C$2:$C$1973,C561)</f>
        <v>115</v>
      </c>
      <c r="I561" s="19" t="n">
        <f aca="false">D561-H561</f>
        <v>365</v>
      </c>
      <c r="J561" s="19" t="n">
        <f aca="false">I561*E561</f>
        <v>4380</v>
      </c>
      <c r="K561" s="16" t="n">
        <f aca="false">IF(D561=0,0,I561/D561)</f>
        <v>0.760416666666667</v>
      </c>
      <c r="L561" s="16" t="n">
        <f aca="false">IF(J561=0,0,F561/J561)</f>
        <v>0.929908675799087</v>
      </c>
      <c r="M561" s="16" t="n">
        <f aca="false">IF(F561=0,0,G561/F561)</f>
        <v>0.969310090842131</v>
      </c>
      <c r="N561" s="16" t="n">
        <f aca="false">K561*L561*M561</f>
        <v>0.685416666666667</v>
      </c>
      <c r="O561" s="19" t="n">
        <f aca="false">MONTH(A561)</f>
        <v>9</v>
      </c>
      <c r="P561" s="19" t="n">
        <f aca="false">INT((A561-DATE(2026,7,1))/7)+1</f>
        <v>9</v>
      </c>
    </row>
    <row r="562" customFormat="false" ht="15" hidden="false" customHeight="false" outlineLevel="0" collapsed="false">
      <c r="A562" s="25" t="n">
        <v>46266</v>
      </c>
      <c r="B562" s="26" t="s">
        <v>16</v>
      </c>
      <c r="C562" s="26" t="s">
        <v>74</v>
      </c>
      <c r="D562" s="26" t="n">
        <v>480</v>
      </c>
      <c r="E562" s="26" t="n">
        <v>12</v>
      </c>
      <c r="F562" s="26" t="n">
        <v>4825</v>
      </c>
      <c r="G562" s="26" t="n">
        <v>4746</v>
      </c>
      <c r="H562" s="19" t="n">
        <f aca="false">SUMIFS(Paradas!$E$2:$E$1973,Paradas!$A$2:$A$1973,A562,Paradas!$B$2:$B$1973,B562,Paradas!$C$2:$C$1973,C562)</f>
        <v>32</v>
      </c>
      <c r="I562" s="19" t="n">
        <f aca="false">D562-H562</f>
        <v>448</v>
      </c>
      <c r="J562" s="19" t="n">
        <f aca="false">I562*E562</f>
        <v>5376</v>
      </c>
      <c r="K562" s="16" t="n">
        <f aca="false">IF(D562=0,0,I562/D562)</f>
        <v>0.933333333333333</v>
      </c>
      <c r="L562" s="16" t="n">
        <f aca="false">IF(J562=0,0,F562/J562)</f>
        <v>0.897507440476191</v>
      </c>
      <c r="M562" s="16" t="n">
        <f aca="false">IF(F562=0,0,G562/F562)</f>
        <v>0.983626943005181</v>
      </c>
      <c r="N562" s="16" t="n">
        <f aca="false">K562*L562*M562</f>
        <v>0.823958333333334</v>
      </c>
      <c r="O562" s="19" t="n">
        <f aca="false">MONTH(A562)</f>
        <v>9</v>
      </c>
      <c r="P562" s="19" t="n">
        <f aca="false">INT((A562-DATE(2026,7,1))/7)+1</f>
        <v>9</v>
      </c>
    </row>
    <row r="563" customFormat="false" ht="15" hidden="false" customHeight="false" outlineLevel="0" collapsed="false">
      <c r="A563" s="25" t="n">
        <v>46266</v>
      </c>
      <c r="B563" s="26" t="s">
        <v>17</v>
      </c>
      <c r="C563" s="26" t="s">
        <v>72</v>
      </c>
      <c r="D563" s="26" t="n">
        <v>480</v>
      </c>
      <c r="E563" s="26" t="n">
        <v>10</v>
      </c>
      <c r="F563" s="26" t="n">
        <v>2920</v>
      </c>
      <c r="G563" s="26" t="n">
        <v>2818</v>
      </c>
      <c r="H563" s="19" t="n">
        <f aca="false">SUMIFS(Paradas!$E$2:$E$1973,Paradas!$A$2:$A$1973,A563,Paradas!$B$2:$B$1973,B563,Paradas!$C$2:$C$1973,C563)</f>
        <v>170</v>
      </c>
      <c r="I563" s="19" t="n">
        <f aca="false">D563-H563</f>
        <v>310</v>
      </c>
      <c r="J563" s="19" t="n">
        <f aca="false">I563*E563</f>
        <v>3100</v>
      </c>
      <c r="K563" s="16" t="n">
        <f aca="false">IF(D563=0,0,I563/D563)</f>
        <v>0.645833333333333</v>
      </c>
      <c r="L563" s="16" t="n">
        <f aca="false">IF(J563=0,0,F563/J563)</f>
        <v>0.941935483870968</v>
      </c>
      <c r="M563" s="16" t="n">
        <f aca="false">IF(F563=0,0,G563/F563)</f>
        <v>0.965068493150685</v>
      </c>
      <c r="N563" s="16" t="n">
        <f aca="false">K563*L563*M563</f>
        <v>0.587083333333333</v>
      </c>
      <c r="O563" s="19" t="n">
        <f aca="false">MONTH(A563)</f>
        <v>9</v>
      </c>
      <c r="P563" s="19" t="n">
        <f aca="false">INT((A563-DATE(2026,7,1))/7)+1</f>
        <v>9</v>
      </c>
    </row>
    <row r="564" customFormat="false" ht="15" hidden="false" customHeight="false" outlineLevel="0" collapsed="false">
      <c r="A564" s="25" t="n">
        <v>46266</v>
      </c>
      <c r="B564" s="26" t="s">
        <v>17</v>
      </c>
      <c r="C564" s="26" t="s">
        <v>73</v>
      </c>
      <c r="D564" s="26" t="n">
        <v>480</v>
      </c>
      <c r="E564" s="26" t="n">
        <v>10</v>
      </c>
      <c r="F564" s="26" t="n">
        <v>3918</v>
      </c>
      <c r="G564" s="26" t="n">
        <v>3737</v>
      </c>
      <c r="H564" s="19" t="n">
        <f aca="false">SUMIFS(Paradas!$E$2:$E$1973,Paradas!$A$2:$A$1973,A564,Paradas!$B$2:$B$1973,B564,Paradas!$C$2:$C$1973,C564)</f>
        <v>50</v>
      </c>
      <c r="I564" s="19" t="n">
        <f aca="false">D564-H564</f>
        <v>430</v>
      </c>
      <c r="J564" s="19" t="n">
        <f aca="false">I564*E564</f>
        <v>4300</v>
      </c>
      <c r="K564" s="16" t="n">
        <f aca="false">IF(D564=0,0,I564/D564)</f>
        <v>0.895833333333333</v>
      </c>
      <c r="L564" s="16" t="n">
        <f aca="false">IF(J564=0,0,F564/J564)</f>
        <v>0.911162790697675</v>
      </c>
      <c r="M564" s="16" t="n">
        <f aca="false">IF(F564=0,0,G564/F564)</f>
        <v>0.953802960694232</v>
      </c>
      <c r="N564" s="16" t="n">
        <f aca="false">K564*L564*M564</f>
        <v>0.778541666666667</v>
      </c>
      <c r="O564" s="19" t="n">
        <f aca="false">MONTH(A564)</f>
        <v>9</v>
      </c>
      <c r="P564" s="19" t="n">
        <f aca="false">INT((A564-DATE(2026,7,1))/7)+1</f>
        <v>9</v>
      </c>
    </row>
    <row r="565" customFormat="false" ht="15" hidden="false" customHeight="false" outlineLevel="0" collapsed="false">
      <c r="A565" s="25" t="n">
        <v>46266</v>
      </c>
      <c r="B565" s="26" t="s">
        <v>17</v>
      </c>
      <c r="C565" s="26" t="s">
        <v>74</v>
      </c>
      <c r="D565" s="26" t="n">
        <v>480</v>
      </c>
      <c r="E565" s="26" t="n">
        <v>10</v>
      </c>
      <c r="F565" s="26" t="n">
        <v>2753</v>
      </c>
      <c r="G565" s="26" t="n">
        <v>2671</v>
      </c>
      <c r="H565" s="19" t="n">
        <f aca="false">SUMIFS(Paradas!$E$2:$E$1973,Paradas!$A$2:$A$1973,A565,Paradas!$B$2:$B$1973,B565,Paradas!$C$2:$C$1973,C565)</f>
        <v>128</v>
      </c>
      <c r="I565" s="19" t="n">
        <f aca="false">D565-H565</f>
        <v>352</v>
      </c>
      <c r="J565" s="19" t="n">
        <f aca="false">I565*E565</f>
        <v>3520</v>
      </c>
      <c r="K565" s="16" t="n">
        <f aca="false">IF(D565=0,0,I565/D565)</f>
        <v>0.733333333333333</v>
      </c>
      <c r="L565" s="16" t="n">
        <f aca="false">IF(J565=0,0,F565/J565)</f>
        <v>0.782102272727273</v>
      </c>
      <c r="M565" s="16" t="n">
        <f aca="false">IF(F565=0,0,G565/F565)</f>
        <v>0.970214311660007</v>
      </c>
      <c r="N565" s="16" t="n">
        <f aca="false">K565*L565*M565</f>
        <v>0.556458333333333</v>
      </c>
      <c r="O565" s="19" t="n">
        <f aca="false">MONTH(A565)</f>
        <v>9</v>
      </c>
      <c r="P565" s="19" t="n">
        <f aca="false">INT((A565-DATE(2026,7,1))/7)+1</f>
        <v>9</v>
      </c>
    </row>
    <row r="566" customFormat="false" ht="15" hidden="false" customHeight="false" outlineLevel="0" collapsed="false">
      <c r="A566" s="25" t="n">
        <v>46266</v>
      </c>
      <c r="B566" s="26" t="s">
        <v>18</v>
      </c>
      <c r="C566" s="26" t="s">
        <v>72</v>
      </c>
      <c r="D566" s="26" t="n">
        <v>480</v>
      </c>
      <c r="E566" s="26" t="n">
        <v>8</v>
      </c>
      <c r="F566" s="26" t="n">
        <v>3461</v>
      </c>
      <c r="G566" s="26" t="n">
        <v>3428</v>
      </c>
      <c r="H566" s="19" t="n">
        <f aca="false">SUMIFS(Paradas!$E$2:$E$1973,Paradas!$A$2:$A$1973,A566,Paradas!$B$2:$B$1973,B566,Paradas!$C$2:$C$1973,C566)</f>
        <v>28</v>
      </c>
      <c r="I566" s="19" t="n">
        <f aca="false">D566-H566</f>
        <v>452</v>
      </c>
      <c r="J566" s="19" t="n">
        <f aca="false">I566*E566</f>
        <v>3616</v>
      </c>
      <c r="K566" s="16" t="n">
        <f aca="false">IF(D566=0,0,I566/D566)</f>
        <v>0.941666666666667</v>
      </c>
      <c r="L566" s="16" t="n">
        <f aca="false">IF(J566=0,0,F566/J566)</f>
        <v>0.957134955752212</v>
      </c>
      <c r="M566" s="16" t="n">
        <f aca="false">IF(F566=0,0,G566/F566)</f>
        <v>0.990465183472985</v>
      </c>
      <c r="N566" s="16" t="n">
        <f aca="false">K566*L566*M566</f>
        <v>0.892708333333333</v>
      </c>
      <c r="O566" s="19" t="n">
        <f aca="false">MONTH(A566)</f>
        <v>9</v>
      </c>
      <c r="P566" s="19" t="n">
        <f aca="false">INT((A566-DATE(2026,7,1))/7)+1</f>
        <v>9</v>
      </c>
    </row>
    <row r="567" customFormat="false" ht="15" hidden="false" customHeight="false" outlineLevel="0" collapsed="false">
      <c r="A567" s="25" t="n">
        <v>46266</v>
      </c>
      <c r="B567" s="26" t="s">
        <v>18</v>
      </c>
      <c r="C567" s="26" t="s">
        <v>73</v>
      </c>
      <c r="D567" s="26" t="n">
        <v>480</v>
      </c>
      <c r="E567" s="26" t="n">
        <v>8</v>
      </c>
      <c r="F567" s="26" t="n">
        <v>2799</v>
      </c>
      <c r="G567" s="26" t="n">
        <v>2785</v>
      </c>
      <c r="H567" s="19" t="n">
        <f aca="false">SUMIFS(Paradas!$E$2:$E$1973,Paradas!$A$2:$A$1973,A567,Paradas!$B$2:$B$1973,B567,Paradas!$C$2:$C$1973,C567)</f>
        <v>71</v>
      </c>
      <c r="I567" s="19" t="n">
        <f aca="false">D567-H567</f>
        <v>409</v>
      </c>
      <c r="J567" s="19" t="n">
        <f aca="false">I567*E567</f>
        <v>3272</v>
      </c>
      <c r="K567" s="16" t="n">
        <f aca="false">IF(D567=0,0,I567/D567)</f>
        <v>0.852083333333333</v>
      </c>
      <c r="L567" s="16" t="n">
        <f aca="false">IF(J567=0,0,F567/J567)</f>
        <v>0.855440097799511</v>
      </c>
      <c r="M567" s="16" t="n">
        <f aca="false">IF(F567=0,0,G567/F567)</f>
        <v>0.994998213647731</v>
      </c>
      <c r="N567" s="16" t="n">
        <f aca="false">K567*L567*M567</f>
        <v>0.725260416666667</v>
      </c>
      <c r="O567" s="19" t="n">
        <f aca="false">MONTH(A567)</f>
        <v>9</v>
      </c>
      <c r="P567" s="19" t="n">
        <f aca="false">INT((A567-DATE(2026,7,1))/7)+1</f>
        <v>9</v>
      </c>
    </row>
    <row r="568" customFormat="false" ht="15" hidden="false" customHeight="false" outlineLevel="0" collapsed="false">
      <c r="A568" s="25" t="n">
        <v>46266</v>
      </c>
      <c r="B568" s="26" t="s">
        <v>18</v>
      </c>
      <c r="C568" s="26" t="s">
        <v>74</v>
      </c>
      <c r="D568" s="26" t="n">
        <v>480</v>
      </c>
      <c r="E568" s="26" t="n">
        <v>8</v>
      </c>
      <c r="F568" s="26" t="n">
        <v>3262</v>
      </c>
      <c r="G568" s="26" t="n">
        <v>3149</v>
      </c>
      <c r="H568" s="19" t="n">
        <f aca="false">SUMIFS(Paradas!$E$2:$E$1973,Paradas!$A$2:$A$1973,A568,Paradas!$B$2:$B$1973,B568,Paradas!$C$2:$C$1973,C568)</f>
        <v>0</v>
      </c>
      <c r="I568" s="19" t="n">
        <f aca="false">D568-H568</f>
        <v>480</v>
      </c>
      <c r="J568" s="19" t="n">
        <f aca="false">I568*E568</f>
        <v>3840</v>
      </c>
      <c r="K568" s="16" t="n">
        <f aca="false">IF(D568=0,0,I568/D568)</f>
        <v>1</v>
      </c>
      <c r="L568" s="16" t="n">
        <f aca="false">IF(J568=0,0,F568/J568)</f>
        <v>0.849479166666667</v>
      </c>
      <c r="M568" s="16" t="n">
        <f aca="false">IF(F568=0,0,G568/F568)</f>
        <v>0.965358675659105</v>
      </c>
      <c r="N568" s="16" t="n">
        <f aca="false">K568*L568*M568</f>
        <v>0.820052083333333</v>
      </c>
      <c r="O568" s="19" t="n">
        <f aca="false">MONTH(A568)</f>
        <v>9</v>
      </c>
      <c r="P568" s="19" t="n">
        <f aca="false">INT((A568-DATE(2026,7,1))/7)+1</f>
        <v>9</v>
      </c>
    </row>
    <row r="569" customFormat="false" ht="15" hidden="false" customHeight="false" outlineLevel="0" collapsed="false">
      <c r="A569" s="25" t="n">
        <v>46267</v>
      </c>
      <c r="B569" s="26" t="s">
        <v>16</v>
      </c>
      <c r="C569" s="26" t="s">
        <v>72</v>
      </c>
      <c r="D569" s="26" t="n">
        <v>480</v>
      </c>
      <c r="E569" s="26" t="n">
        <v>12</v>
      </c>
      <c r="F569" s="26" t="n">
        <v>5138</v>
      </c>
      <c r="G569" s="26" t="n">
        <v>5004</v>
      </c>
      <c r="H569" s="19" t="n">
        <f aca="false">SUMIFS(Paradas!$E$2:$E$1973,Paradas!$A$2:$A$1973,A569,Paradas!$B$2:$B$1973,B569,Paradas!$C$2:$C$1973,C569)</f>
        <v>0</v>
      </c>
      <c r="I569" s="19" t="n">
        <f aca="false">D569-H569</f>
        <v>480</v>
      </c>
      <c r="J569" s="19" t="n">
        <f aca="false">I569*E569</f>
        <v>5760</v>
      </c>
      <c r="K569" s="16" t="n">
        <f aca="false">IF(D569=0,0,I569/D569)</f>
        <v>1</v>
      </c>
      <c r="L569" s="16" t="n">
        <f aca="false">IF(J569=0,0,F569/J569)</f>
        <v>0.892013888888889</v>
      </c>
      <c r="M569" s="16" t="n">
        <f aca="false">IF(F569=0,0,G569/F569)</f>
        <v>0.97391981315687</v>
      </c>
      <c r="N569" s="16" t="n">
        <f aca="false">K569*L569*M569</f>
        <v>0.86875</v>
      </c>
      <c r="O569" s="19" t="n">
        <f aca="false">MONTH(A569)</f>
        <v>9</v>
      </c>
      <c r="P569" s="19" t="n">
        <f aca="false">INT((A569-DATE(2026,7,1))/7)+1</f>
        <v>10</v>
      </c>
    </row>
    <row r="570" customFormat="false" ht="15" hidden="false" customHeight="false" outlineLevel="0" collapsed="false">
      <c r="A570" s="25" t="n">
        <v>46267</v>
      </c>
      <c r="B570" s="26" t="s">
        <v>16</v>
      </c>
      <c r="C570" s="26" t="s">
        <v>73</v>
      </c>
      <c r="D570" s="26" t="n">
        <v>480</v>
      </c>
      <c r="E570" s="26" t="n">
        <v>12</v>
      </c>
      <c r="F570" s="26" t="n">
        <v>4901</v>
      </c>
      <c r="G570" s="26" t="n">
        <v>4757</v>
      </c>
      <c r="H570" s="19" t="n">
        <f aca="false">SUMIFS(Paradas!$E$2:$E$1973,Paradas!$A$2:$A$1973,A570,Paradas!$B$2:$B$1973,B570,Paradas!$C$2:$C$1973,C570)</f>
        <v>0</v>
      </c>
      <c r="I570" s="19" t="n">
        <f aca="false">D570-H570</f>
        <v>480</v>
      </c>
      <c r="J570" s="19" t="n">
        <f aca="false">I570*E570</f>
        <v>5760</v>
      </c>
      <c r="K570" s="16" t="n">
        <f aca="false">IF(D570=0,0,I570/D570)</f>
        <v>1</v>
      </c>
      <c r="L570" s="16" t="n">
        <f aca="false">IF(J570=0,0,F570/J570)</f>
        <v>0.850868055555556</v>
      </c>
      <c r="M570" s="16" t="n">
        <f aca="false">IF(F570=0,0,G570/F570)</f>
        <v>0.97061824117527</v>
      </c>
      <c r="N570" s="16" t="n">
        <f aca="false">K570*L570*M570</f>
        <v>0.825868055555556</v>
      </c>
      <c r="O570" s="19" t="n">
        <f aca="false">MONTH(A570)</f>
        <v>9</v>
      </c>
      <c r="P570" s="19" t="n">
        <f aca="false">INT((A570-DATE(2026,7,1))/7)+1</f>
        <v>10</v>
      </c>
    </row>
    <row r="571" customFormat="false" ht="15" hidden="false" customHeight="false" outlineLevel="0" collapsed="false">
      <c r="A571" s="25" t="n">
        <v>46267</v>
      </c>
      <c r="B571" s="26" t="s">
        <v>16</v>
      </c>
      <c r="C571" s="26" t="s">
        <v>74</v>
      </c>
      <c r="D571" s="26" t="n">
        <v>480</v>
      </c>
      <c r="E571" s="26" t="n">
        <v>12</v>
      </c>
      <c r="F571" s="26" t="n">
        <v>4257</v>
      </c>
      <c r="G571" s="26" t="n">
        <v>4073</v>
      </c>
      <c r="H571" s="19" t="n">
        <f aca="false">SUMIFS(Paradas!$E$2:$E$1973,Paradas!$A$2:$A$1973,A571,Paradas!$B$2:$B$1973,B571,Paradas!$C$2:$C$1973,C571)</f>
        <v>63</v>
      </c>
      <c r="I571" s="19" t="n">
        <f aca="false">D571-H571</f>
        <v>417</v>
      </c>
      <c r="J571" s="19" t="n">
        <f aca="false">I571*E571</f>
        <v>5004</v>
      </c>
      <c r="K571" s="16" t="n">
        <f aca="false">IF(D571=0,0,I571/D571)</f>
        <v>0.86875</v>
      </c>
      <c r="L571" s="16" t="n">
        <f aca="false">IF(J571=0,0,F571/J571)</f>
        <v>0.850719424460432</v>
      </c>
      <c r="M571" s="16" t="n">
        <f aca="false">IF(F571=0,0,G571/F571)</f>
        <v>0.956777073056143</v>
      </c>
      <c r="N571" s="16" t="n">
        <f aca="false">K571*L571*M571</f>
        <v>0.707118055555556</v>
      </c>
      <c r="O571" s="19" t="n">
        <f aca="false">MONTH(A571)</f>
        <v>9</v>
      </c>
      <c r="P571" s="19" t="n">
        <f aca="false">INT((A571-DATE(2026,7,1))/7)+1</f>
        <v>10</v>
      </c>
    </row>
    <row r="572" customFormat="false" ht="15" hidden="false" customHeight="false" outlineLevel="0" collapsed="false">
      <c r="A572" s="25" t="n">
        <v>46267</v>
      </c>
      <c r="B572" s="26" t="s">
        <v>17</v>
      </c>
      <c r="C572" s="26" t="s">
        <v>72</v>
      </c>
      <c r="D572" s="26" t="n">
        <v>480</v>
      </c>
      <c r="E572" s="26" t="n">
        <v>10</v>
      </c>
      <c r="F572" s="26" t="n">
        <v>3831</v>
      </c>
      <c r="G572" s="26" t="n">
        <v>3706</v>
      </c>
      <c r="H572" s="19" t="n">
        <f aca="false">SUMIFS(Paradas!$E$2:$E$1973,Paradas!$A$2:$A$1973,A572,Paradas!$B$2:$B$1973,B572,Paradas!$C$2:$C$1973,C572)</f>
        <v>48</v>
      </c>
      <c r="I572" s="19" t="n">
        <f aca="false">D572-H572</f>
        <v>432</v>
      </c>
      <c r="J572" s="19" t="n">
        <f aca="false">I572*E572</f>
        <v>4320</v>
      </c>
      <c r="K572" s="16" t="n">
        <f aca="false">IF(D572=0,0,I572/D572)</f>
        <v>0.9</v>
      </c>
      <c r="L572" s="16" t="n">
        <f aca="false">IF(J572=0,0,F572/J572)</f>
        <v>0.886805555555556</v>
      </c>
      <c r="M572" s="16" t="n">
        <f aca="false">IF(F572=0,0,G572/F572)</f>
        <v>0.96737144348734</v>
      </c>
      <c r="N572" s="16" t="n">
        <f aca="false">K572*L572*M572</f>
        <v>0.772083333333333</v>
      </c>
      <c r="O572" s="19" t="n">
        <f aca="false">MONTH(A572)</f>
        <v>9</v>
      </c>
      <c r="P572" s="19" t="n">
        <f aca="false">INT((A572-DATE(2026,7,1))/7)+1</f>
        <v>10</v>
      </c>
    </row>
    <row r="573" customFormat="false" ht="15" hidden="false" customHeight="false" outlineLevel="0" collapsed="false">
      <c r="A573" s="25" t="n">
        <v>46267</v>
      </c>
      <c r="B573" s="26" t="s">
        <v>17</v>
      </c>
      <c r="C573" s="26" t="s">
        <v>73</v>
      </c>
      <c r="D573" s="26" t="n">
        <v>480</v>
      </c>
      <c r="E573" s="26" t="n">
        <v>10</v>
      </c>
      <c r="F573" s="26" t="n">
        <v>3588</v>
      </c>
      <c r="G573" s="26" t="n">
        <v>3365</v>
      </c>
      <c r="H573" s="19" t="n">
        <f aca="false">SUMIFS(Paradas!$E$2:$E$1973,Paradas!$A$2:$A$1973,A573,Paradas!$B$2:$B$1973,B573,Paradas!$C$2:$C$1973,C573)</f>
        <v>80</v>
      </c>
      <c r="I573" s="19" t="n">
        <f aca="false">D573-H573</f>
        <v>400</v>
      </c>
      <c r="J573" s="19" t="n">
        <f aca="false">I573*E573</f>
        <v>4000</v>
      </c>
      <c r="K573" s="16" t="n">
        <f aca="false">IF(D573=0,0,I573/D573)</f>
        <v>0.833333333333333</v>
      </c>
      <c r="L573" s="16" t="n">
        <f aca="false">IF(J573=0,0,F573/J573)</f>
        <v>0.897</v>
      </c>
      <c r="M573" s="16" t="n">
        <f aca="false">IF(F573=0,0,G573/F573)</f>
        <v>0.937848383500557</v>
      </c>
      <c r="N573" s="16" t="n">
        <f aca="false">K573*L573*M573</f>
        <v>0.701041666666667</v>
      </c>
      <c r="O573" s="19" t="n">
        <f aca="false">MONTH(A573)</f>
        <v>9</v>
      </c>
      <c r="P573" s="19" t="n">
        <f aca="false">INT((A573-DATE(2026,7,1))/7)+1</f>
        <v>10</v>
      </c>
    </row>
    <row r="574" customFormat="false" ht="15" hidden="false" customHeight="false" outlineLevel="0" collapsed="false">
      <c r="A574" s="25" t="n">
        <v>46267</v>
      </c>
      <c r="B574" s="26" t="s">
        <v>17</v>
      </c>
      <c r="C574" s="26" t="s">
        <v>74</v>
      </c>
      <c r="D574" s="26" t="n">
        <v>480</v>
      </c>
      <c r="E574" s="26" t="n">
        <v>10</v>
      </c>
      <c r="F574" s="26" t="n">
        <v>2293</v>
      </c>
      <c r="G574" s="26" t="n">
        <v>2185</v>
      </c>
      <c r="H574" s="19" t="n">
        <f aca="false">SUMIFS(Paradas!$E$2:$E$1973,Paradas!$A$2:$A$1973,A574,Paradas!$B$2:$B$1973,B574,Paradas!$C$2:$C$1973,C574)</f>
        <v>214</v>
      </c>
      <c r="I574" s="19" t="n">
        <f aca="false">D574-H574</f>
        <v>266</v>
      </c>
      <c r="J574" s="19" t="n">
        <f aca="false">I574*E574</f>
        <v>2660</v>
      </c>
      <c r="K574" s="16" t="n">
        <f aca="false">IF(D574=0,0,I574/D574)</f>
        <v>0.554166666666667</v>
      </c>
      <c r="L574" s="16" t="n">
        <f aca="false">IF(J574=0,0,F574/J574)</f>
        <v>0.86203007518797</v>
      </c>
      <c r="M574" s="16" t="n">
        <f aca="false">IF(F574=0,0,G574/F574)</f>
        <v>0.95290013083297</v>
      </c>
      <c r="N574" s="16" t="n">
        <f aca="false">K574*L574*M574</f>
        <v>0.455208333333333</v>
      </c>
      <c r="O574" s="19" t="n">
        <f aca="false">MONTH(A574)</f>
        <v>9</v>
      </c>
      <c r="P574" s="19" t="n">
        <f aca="false">INT((A574-DATE(2026,7,1))/7)+1</f>
        <v>10</v>
      </c>
    </row>
    <row r="575" customFormat="false" ht="15" hidden="false" customHeight="false" outlineLevel="0" collapsed="false">
      <c r="A575" s="25" t="n">
        <v>46267</v>
      </c>
      <c r="B575" s="26" t="s">
        <v>18</v>
      </c>
      <c r="C575" s="26" t="s">
        <v>72</v>
      </c>
      <c r="D575" s="26" t="n">
        <v>480</v>
      </c>
      <c r="E575" s="26" t="n">
        <v>8</v>
      </c>
      <c r="F575" s="26" t="n">
        <v>2720</v>
      </c>
      <c r="G575" s="26" t="n">
        <v>2595</v>
      </c>
      <c r="H575" s="19" t="n">
        <f aca="false">SUMIFS(Paradas!$E$2:$E$1973,Paradas!$A$2:$A$1973,A575,Paradas!$B$2:$B$1973,B575,Paradas!$C$2:$C$1973,C575)</f>
        <v>96</v>
      </c>
      <c r="I575" s="19" t="n">
        <f aca="false">D575-H575</f>
        <v>384</v>
      </c>
      <c r="J575" s="19" t="n">
        <f aca="false">I575*E575</f>
        <v>3072</v>
      </c>
      <c r="K575" s="16" t="n">
        <f aca="false">IF(D575=0,0,I575/D575)</f>
        <v>0.8</v>
      </c>
      <c r="L575" s="16" t="n">
        <f aca="false">IF(J575=0,0,F575/J575)</f>
        <v>0.885416666666667</v>
      </c>
      <c r="M575" s="16" t="n">
        <f aca="false">IF(F575=0,0,G575/F575)</f>
        <v>0.954044117647059</v>
      </c>
      <c r="N575" s="16" t="n">
        <f aca="false">K575*L575*M575</f>
        <v>0.67578125</v>
      </c>
      <c r="O575" s="19" t="n">
        <f aca="false">MONTH(A575)</f>
        <v>9</v>
      </c>
      <c r="P575" s="19" t="n">
        <f aca="false">INT((A575-DATE(2026,7,1))/7)+1</f>
        <v>10</v>
      </c>
    </row>
    <row r="576" customFormat="false" ht="15" hidden="false" customHeight="false" outlineLevel="0" collapsed="false">
      <c r="A576" s="25" t="n">
        <v>46267</v>
      </c>
      <c r="B576" s="26" t="s">
        <v>18</v>
      </c>
      <c r="C576" s="26" t="s">
        <v>73</v>
      </c>
      <c r="D576" s="26" t="n">
        <v>480</v>
      </c>
      <c r="E576" s="26" t="n">
        <v>8</v>
      </c>
      <c r="F576" s="26" t="n">
        <v>2685</v>
      </c>
      <c r="G576" s="26" t="n">
        <v>2612</v>
      </c>
      <c r="H576" s="19" t="n">
        <f aca="false">SUMIFS(Paradas!$E$2:$E$1973,Paradas!$A$2:$A$1973,A576,Paradas!$B$2:$B$1973,B576,Paradas!$C$2:$C$1973,C576)</f>
        <v>130</v>
      </c>
      <c r="I576" s="19" t="n">
        <f aca="false">D576-H576</f>
        <v>350</v>
      </c>
      <c r="J576" s="19" t="n">
        <f aca="false">I576*E576</f>
        <v>2800</v>
      </c>
      <c r="K576" s="16" t="n">
        <f aca="false">IF(D576=0,0,I576/D576)</f>
        <v>0.729166666666667</v>
      </c>
      <c r="L576" s="16" t="n">
        <f aca="false">IF(J576=0,0,F576/J576)</f>
        <v>0.958928571428572</v>
      </c>
      <c r="M576" s="16" t="n">
        <f aca="false">IF(F576=0,0,G576/F576)</f>
        <v>0.972811918063315</v>
      </c>
      <c r="N576" s="16" t="n">
        <f aca="false">K576*L576*M576</f>
        <v>0.680208333333333</v>
      </c>
      <c r="O576" s="19" t="n">
        <f aca="false">MONTH(A576)</f>
        <v>9</v>
      </c>
      <c r="P576" s="19" t="n">
        <f aca="false">INT((A576-DATE(2026,7,1))/7)+1</f>
        <v>10</v>
      </c>
    </row>
    <row r="577" customFormat="false" ht="15" hidden="false" customHeight="false" outlineLevel="0" collapsed="false">
      <c r="A577" s="25" t="n">
        <v>46267</v>
      </c>
      <c r="B577" s="26" t="s">
        <v>18</v>
      </c>
      <c r="C577" s="26" t="s">
        <v>74</v>
      </c>
      <c r="D577" s="26" t="n">
        <v>480</v>
      </c>
      <c r="E577" s="26" t="n">
        <v>8</v>
      </c>
      <c r="F577" s="26" t="n">
        <v>2967</v>
      </c>
      <c r="G577" s="26" t="n">
        <v>2916</v>
      </c>
      <c r="H577" s="19" t="n">
        <f aca="false">SUMIFS(Paradas!$E$2:$E$1973,Paradas!$A$2:$A$1973,A577,Paradas!$B$2:$B$1973,B577,Paradas!$C$2:$C$1973,C577)</f>
        <v>50</v>
      </c>
      <c r="I577" s="19" t="n">
        <f aca="false">D577-H577</f>
        <v>430</v>
      </c>
      <c r="J577" s="19" t="n">
        <f aca="false">I577*E577</f>
        <v>3440</v>
      </c>
      <c r="K577" s="16" t="n">
        <f aca="false">IF(D577=0,0,I577/D577)</f>
        <v>0.895833333333333</v>
      </c>
      <c r="L577" s="16" t="n">
        <f aca="false">IF(J577=0,0,F577/J577)</f>
        <v>0.8625</v>
      </c>
      <c r="M577" s="16" t="n">
        <f aca="false">IF(F577=0,0,G577/F577)</f>
        <v>0.982810920121335</v>
      </c>
      <c r="N577" s="16" t="n">
        <f aca="false">K577*L577*M577</f>
        <v>0.759375</v>
      </c>
      <c r="O577" s="19" t="n">
        <f aca="false">MONTH(A577)</f>
        <v>9</v>
      </c>
      <c r="P577" s="19" t="n">
        <f aca="false">INT((A577-DATE(2026,7,1))/7)+1</f>
        <v>10</v>
      </c>
    </row>
    <row r="578" customFormat="false" ht="15" hidden="false" customHeight="false" outlineLevel="0" collapsed="false">
      <c r="A578" s="25" t="n">
        <v>46268</v>
      </c>
      <c r="B578" s="26" t="s">
        <v>16</v>
      </c>
      <c r="C578" s="26" t="s">
        <v>72</v>
      </c>
      <c r="D578" s="26" t="n">
        <v>480</v>
      </c>
      <c r="E578" s="26" t="n">
        <v>12</v>
      </c>
      <c r="F578" s="26" t="n">
        <v>4211</v>
      </c>
      <c r="G578" s="26" t="n">
        <v>4164</v>
      </c>
      <c r="H578" s="19" t="n">
        <f aca="false">SUMIFS(Paradas!$E$2:$E$1973,Paradas!$A$2:$A$1973,A578,Paradas!$B$2:$B$1973,B578,Paradas!$C$2:$C$1973,C578)</f>
        <v>81</v>
      </c>
      <c r="I578" s="19" t="n">
        <f aca="false">D578-H578</f>
        <v>399</v>
      </c>
      <c r="J578" s="19" t="n">
        <f aca="false">I578*E578</f>
        <v>4788</v>
      </c>
      <c r="K578" s="16" t="n">
        <f aca="false">IF(D578=0,0,I578/D578)</f>
        <v>0.83125</v>
      </c>
      <c r="L578" s="16" t="n">
        <f aca="false">IF(J578=0,0,F578/J578)</f>
        <v>0.879490392648287</v>
      </c>
      <c r="M578" s="16" t="n">
        <f aca="false">IF(F578=0,0,G578/F578)</f>
        <v>0.988838755639991</v>
      </c>
      <c r="N578" s="16" t="n">
        <f aca="false">K578*L578*M578</f>
        <v>0.722916666666667</v>
      </c>
      <c r="O578" s="19" t="n">
        <f aca="false">MONTH(A578)</f>
        <v>9</v>
      </c>
      <c r="P578" s="19" t="n">
        <f aca="false">INT((A578-DATE(2026,7,1))/7)+1</f>
        <v>10</v>
      </c>
    </row>
    <row r="579" customFormat="false" ht="15" hidden="false" customHeight="false" outlineLevel="0" collapsed="false">
      <c r="A579" s="25" t="n">
        <v>46268</v>
      </c>
      <c r="B579" s="26" t="s">
        <v>16</v>
      </c>
      <c r="C579" s="26" t="s">
        <v>73</v>
      </c>
      <c r="D579" s="26" t="n">
        <v>480</v>
      </c>
      <c r="E579" s="26" t="n">
        <v>12</v>
      </c>
      <c r="F579" s="26" t="n">
        <v>3717</v>
      </c>
      <c r="G579" s="26" t="n">
        <v>3634</v>
      </c>
      <c r="H579" s="19" t="n">
        <f aca="false">SUMIFS(Paradas!$E$2:$E$1973,Paradas!$A$2:$A$1973,A579,Paradas!$B$2:$B$1973,B579,Paradas!$C$2:$C$1973,C579)</f>
        <v>120</v>
      </c>
      <c r="I579" s="19" t="n">
        <f aca="false">D579-H579</f>
        <v>360</v>
      </c>
      <c r="J579" s="19" t="n">
        <f aca="false">I579*E579</f>
        <v>4320</v>
      </c>
      <c r="K579" s="16" t="n">
        <f aca="false">IF(D579=0,0,I579/D579)</f>
        <v>0.75</v>
      </c>
      <c r="L579" s="16" t="n">
        <f aca="false">IF(J579=0,0,F579/J579)</f>
        <v>0.860416666666667</v>
      </c>
      <c r="M579" s="16" t="n">
        <f aca="false">IF(F579=0,0,G579/F579)</f>
        <v>0.977670164110842</v>
      </c>
      <c r="N579" s="16" t="n">
        <f aca="false">K579*L579*M579</f>
        <v>0.630902777777778</v>
      </c>
      <c r="O579" s="19" t="n">
        <f aca="false">MONTH(A579)</f>
        <v>9</v>
      </c>
      <c r="P579" s="19" t="n">
        <f aca="false">INT((A579-DATE(2026,7,1))/7)+1</f>
        <v>10</v>
      </c>
    </row>
    <row r="580" customFormat="false" ht="15" hidden="false" customHeight="false" outlineLevel="0" collapsed="false">
      <c r="A580" s="25" t="n">
        <v>46268</v>
      </c>
      <c r="B580" s="26" t="s">
        <v>16</v>
      </c>
      <c r="C580" s="26" t="s">
        <v>74</v>
      </c>
      <c r="D580" s="26" t="n">
        <v>480</v>
      </c>
      <c r="E580" s="26" t="n">
        <v>12</v>
      </c>
      <c r="F580" s="26" t="n">
        <v>5169</v>
      </c>
      <c r="G580" s="26" t="n">
        <v>5080</v>
      </c>
      <c r="H580" s="19" t="n">
        <f aca="false">SUMIFS(Paradas!$E$2:$E$1973,Paradas!$A$2:$A$1973,A580,Paradas!$B$2:$B$1973,B580,Paradas!$C$2:$C$1973,C580)</f>
        <v>0</v>
      </c>
      <c r="I580" s="19" t="n">
        <f aca="false">D580-H580</f>
        <v>480</v>
      </c>
      <c r="J580" s="19" t="n">
        <f aca="false">I580*E580</f>
        <v>5760</v>
      </c>
      <c r="K580" s="16" t="n">
        <f aca="false">IF(D580=0,0,I580/D580)</f>
        <v>1</v>
      </c>
      <c r="L580" s="16" t="n">
        <f aca="false">IF(J580=0,0,F580/J580)</f>
        <v>0.897395833333333</v>
      </c>
      <c r="M580" s="16" t="n">
        <f aca="false">IF(F580=0,0,G580/F580)</f>
        <v>0.982781969433159</v>
      </c>
      <c r="N580" s="16" t="n">
        <f aca="false">K580*L580*M580</f>
        <v>0.881944444444444</v>
      </c>
      <c r="O580" s="19" t="n">
        <f aca="false">MONTH(A580)</f>
        <v>9</v>
      </c>
      <c r="P580" s="19" t="n">
        <f aca="false">INT((A580-DATE(2026,7,1))/7)+1</f>
        <v>10</v>
      </c>
    </row>
    <row r="581" customFormat="false" ht="15" hidden="false" customHeight="false" outlineLevel="0" collapsed="false">
      <c r="A581" s="25" t="n">
        <v>46268</v>
      </c>
      <c r="B581" s="26" t="s">
        <v>17</v>
      </c>
      <c r="C581" s="26" t="s">
        <v>72</v>
      </c>
      <c r="D581" s="26" t="n">
        <v>480</v>
      </c>
      <c r="E581" s="26" t="n">
        <v>10</v>
      </c>
      <c r="F581" s="26" t="n">
        <v>3906</v>
      </c>
      <c r="G581" s="26" t="n">
        <v>3731</v>
      </c>
      <c r="H581" s="19" t="n">
        <f aca="false">SUMIFS(Paradas!$E$2:$E$1973,Paradas!$A$2:$A$1973,A581,Paradas!$B$2:$B$1973,B581,Paradas!$C$2:$C$1973,C581)</f>
        <v>40</v>
      </c>
      <c r="I581" s="19" t="n">
        <f aca="false">D581-H581</f>
        <v>440</v>
      </c>
      <c r="J581" s="19" t="n">
        <f aca="false">I581*E581</f>
        <v>4400</v>
      </c>
      <c r="K581" s="16" t="n">
        <f aca="false">IF(D581=0,0,I581/D581)</f>
        <v>0.916666666666667</v>
      </c>
      <c r="L581" s="16" t="n">
        <f aca="false">IF(J581=0,0,F581/J581)</f>
        <v>0.887727272727273</v>
      </c>
      <c r="M581" s="16" t="n">
        <f aca="false">IF(F581=0,0,G581/F581)</f>
        <v>0.955197132616487</v>
      </c>
      <c r="N581" s="16" t="n">
        <f aca="false">K581*L581*M581</f>
        <v>0.777291666666667</v>
      </c>
      <c r="O581" s="19" t="n">
        <f aca="false">MONTH(A581)</f>
        <v>9</v>
      </c>
      <c r="P581" s="19" t="n">
        <f aca="false">INT((A581-DATE(2026,7,1))/7)+1</f>
        <v>10</v>
      </c>
    </row>
    <row r="582" customFormat="false" ht="15" hidden="false" customHeight="false" outlineLevel="0" collapsed="false">
      <c r="A582" s="25" t="n">
        <v>46268</v>
      </c>
      <c r="B582" s="26" t="s">
        <v>17</v>
      </c>
      <c r="C582" s="26" t="s">
        <v>73</v>
      </c>
      <c r="D582" s="26" t="n">
        <v>480</v>
      </c>
      <c r="E582" s="26" t="n">
        <v>10</v>
      </c>
      <c r="F582" s="26" t="n">
        <v>3571</v>
      </c>
      <c r="G582" s="26" t="n">
        <v>3427</v>
      </c>
      <c r="H582" s="19" t="n">
        <f aca="false">SUMIFS(Paradas!$E$2:$E$1973,Paradas!$A$2:$A$1973,A582,Paradas!$B$2:$B$1973,B582,Paradas!$C$2:$C$1973,C582)</f>
        <v>95</v>
      </c>
      <c r="I582" s="19" t="n">
        <f aca="false">D582-H582</f>
        <v>385</v>
      </c>
      <c r="J582" s="19" t="n">
        <f aca="false">I582*E582</f>
        <v>3850</v>
      </c>
      <c r="K582" s="16" t="n">
        <f aca="false">IF(D582=0,0,I582/D582)</f>
        <v>0.802083333333333</v>
      </c>
      <c r="L582" s="16" t="n">
        <f aca="false">IF(J582=0,0,F582/J582)</f>
        <v>0.927532467532468</v>
      </c>
      <c r="M582" s="16" t="n">
        <f aca="false">IF(F582=0,0,G582/F582)</f>
        <v>0.959675161019322</v>
      </c>
      <c r="N582" s="16" t="n">
        <f aca="false">K582*L582*M582</f>
        <v>0.713958333333333</v>
      </c>
      <c r="O582" s="19" t="n">
        <f aca="false">MONTH(A582)</f>
        <v>9</v>
      </c>
      <c r="P582" s="19" t="n">
        <f aca="false">INT((A582-DATE(2026,7,1))/7)+1</f>
        <v>10</v>
      </c>
    </row>
    <row r="583" customFormat="false" ht="15" hidden="false" customHeight="false" outlineLevel="0" collapsed="false">
      <c r="A583" s="25" t="n">
        <v>46268</v>
      </c>
      <c r="B583" s="26" t="s">
        <v>17</v>
      </c>
      <c r="C583" s="26" t="s">
        <v>74</v>
      </c>
      <c r="D583" s="26" t="n">
        <v>480</v>
      </c>
      <c r="E583" s="26" t="n">
        <v>10</v>
      </c>
      <c r="F583" s="26" t="n">
        <v>2538</v>
      </c>
      <c r="G583" s="26" t="n">
        <v>2450</v>
      </c>
      <c r="H583" s="19" t="n">
        <f aca="false">SUMIFS(Paradas!$E$2:$E$1973,Paradas!$A$2:$A$1973,A583,Paradas!$B$2:$B$1973,B583,Paradas!$C$2:$C$1973,C583)</f>
        <v>183</v>
      </c>
      <c r="I583" s="19" t="n">
        <f aca="false">D583-H583</f>
        <v>297</v>
      </c>
      <c r="J583" s="19" t="n">
        <f aca="false">I583*E583</f>
        <v>2970</v>
      </c>
      <c r="K583" s="16" t="n">
        <f aca="false">IF(D583=0,0,I583/D583)</f>
        <v>0.61875</v>
      </c>
      <c r="L583" s="16" t="n">
        <f aca="false">IF(J583=0,0,F583/J583)</f>
        <v>0.854545454545455</v>
      </c>
      <c r="M583" s="16" t="n">
        <f aca="false">IF(F583=0,0,G583/F583)</f>
        <v>0.965327029156816</v>
      </c>
      <c r="N583" s="16" t="n">
        <f aca="false">K583*L583*M583</f>
        <v>0.510416666666667</v>
      </c>
      <c r="O583" s="19" t="n">
        <f aca="false">MONTH(A583)</f>
        <v>9</v>
      </c>
      <c r="P583" s="19" t="n">
        <f aca="false">INT((A583-DATE(2026,7,1))/7)+1</f>
        <v>10</v>
      </c>
    </row>
    <row r="584" customFormat="false" ht="15" hidden="false" customHeight="false" outlineLevel="0" collapsed="false">
      <c r="A584" s="25" t="n">
        <v>46268</v>
      </c>
      <c r="B584" s="26" t="s">
        <v>18</v>
      </c>
      <c r="C584" s="26" t="s">
        <v>72</v>
      </c>
      <c r="D584" s="26" t="n">
        <v>480</v>
      </c>
      <c r="E584" s="26" t="n">
        <v>8</v>
      </c>
      <c r="F584" s="26" t="n">
        <v>1896</v>
      </c>
      <c r="G584" s="26" t="n">
        <v>1848</v>
      </c>
      <c r="H584" s="19" t="n">
        <f aca="false">SUMIFS(Paradas!$E$2:$E$1973,Paradas!$A$2:$A$1973,A584,Paradas!$B$2:$B$1973,B584,Paradas!$C$2:$C$1973,C584)</f>
        <v>205</v>
      </c>
      <c r="I584" s="19" t="n">
        <f aca="false">D584-H584</f>
        <v>275</v>
      </c>
      <c r="J584" s="19" t="n">
        <f aca="false">I584*E584</f>
        <v>2200</v>
      </c>
      <c r="K584" s="16" t="n">
        <f aca="false">IF(D584=0,0,I584/D584)</f>
        <v>0.572916666666667</v>
      </c>
      <c r="L584" s="16" t="n">
        <f aca="false">IF(J584=0,0,F584/J584)</f>
        <v>0.861818181818182</v>
      </c>
      <c r="M584" s="16" t="n">
        <f aca="false">IF(F584=0,0,G584/F584)</f>
        <v>0.974683544303797</v>
      </c>
      <c r="N584" s="16" t="n">
        <f aca="false">K584*L584*M584</f>
        <v>0.48125</v>
      </c>
      <c r="O584" s="19" t="n">
        <f aca="false">MONTH(A584)</f>
        <v>9</v>
      </c>
      <c r="P584" s="19" t="n">
        <f aca="false">INT((A584-DATE(2026,7,1))/7)+1</f>
        <v>10</v>
      </c>
    </row>
    <row r="585" customFormat="false" ht="15" hidden="false" customHeight="false" outlineLevel="0" collapsed="false">
      <c r="A585" s="25" t="n">
        <v>46268</v>
      </c>
      <c r="B585" s="26" t="s">
        <v>18</v>
      </c>
      <c r="C585" s="26" t="s">
        <v>73</v>
      </c>
      <c r="D585" s="26" t="n">
        <v>480</v>
      </c>
      <c r="E585" s="26" t="n">
        <v>8</v>
      </c>
      <c r="F585" s="26" t="n">
        <v>3093</v>
      </c>
      <c r="G585" s="26" t="n">
        <v>2939</v>
      </c>
      <c r="H585" s="19" t="n">
        <f aca="false">SUMIFS(Paradas!$E$2:$E$1973,Paradas!$A$2:$A$1973,A585,Paradas!$B$2:$B$1973,B585,Paradas!$C$2:$C$1973,C585)</f>
        <v>23</v>
      </c>
      <c r="I585" s="19" t="n">
        <f aca="false">D585-H585</f>
        <v>457</v>
      </c>
      <c r="J585" s="19" t="n">
        <f aca="false">I585*E585</f>
        <v>3656</v>
      </c>
      <c r="K585" s="16" t="n">
        <f aca="false">IF(D585=0,0,I585/D585)</f>
        <v>0.952083333333333</v>
      </c>
      <c r="L585" s="16" t="n">
        <f aca="false">IF(J585=0,0,F585/J585)</f>
        <v>0.846006564551422</v>
      </c>
      <c r="M585" s="16" t="n">
        <f aca="false">IF(F585=0,0,G585/F585)</f>
        <v>0.95021015195603</v>
      </c>
      <c r="N585" s="16" t="n">
        <f aca="false">K585*L585*M585</f>
        <v>0.765364583333333</v>
      </c>
      <c r="O585" s="19" t="n">
        <f aca="false">MONTH(A585)</f>
        <v>9</v>
      </c>
      <c r="P585" s="19" t="n">
        <f aca="false">INT((A585-DATE(2026,7,1))/7)+1</f>
        <v>10</v>
      </c>
    </row>
    <row r="586" customFormat="false" ht="15" hidden="false" customHeight="false" outlineLevel="0" collapsed="false">
      <c r="A586" s="25" t="n">
        <v>46268</v>
      </c>
      <c r="B586" s="26" t="s">
        <v>18</v>
      </c>
      <c r="C586" s="26" t="s">
        <v>74</v>
      </c>
      <c r="D586" s="26" t="n">
        <v>480</v>
      </c>
      <c r="E586" s="26" t="n">
        <v>8</v>
      </c>
      <c r="F586" s="26" t="n">
        <v>2675</v>
      </c>
      <c r="G586" s="26" t="n">
        <v>2619</v>
      </c>
      <c r="H586" s="19" t="n">
        <f aca="false">SUMIFS(Paradas!$E$2:$E$1973,Paradas!$A$2:$A$1973,A586,Paradas!$B$2:$B$1973,B586,Paradas!$C$2:$C$1973,C586)</f>
        <v>80</v>
      </c>
      <c r="I586" s="19" t="n">
        <f aca="false">D586-H586</f>
        <v>400</v>
      </c>
      <c r="J586" s="19" t="n">
        <f aca="false">I586*E586</f>
        <v>3200</v>
      </c>
      <c r="K586" s="16" t="n">
        <f aca="false">IF(D586=0,0,I586/D586)</f>
        <v>0.833333333333333</v>
      </c>
      <c r="L586" s="16" t="n">
        <f aca="false">IF(J586=0,0,F586/J586)</f>
        <v>0.8359375</v>
      </c>
      <c r="M586" s="16" t="n">
        <f aca="false">IF(F586=0,0,G586/F586)</f>
        <v>0.979065420560748</v>
      </c>
      <c r="N586" s="16" t="n">
        <f aca="false">K586*L586*M586</f>
        <v>0.68203125</v>
      </c>
      <c r="O586" s="19" t="n">
        <f aca="false">MONTH(A586)</f>
        <v>9</v>
      </c>
      <c r="P586" s="19" t="n">
        <f aca="false">INT((A586-DATE(2026,7,1))/7)+1</f>
        <v>10</v>
      </c>
    </row>
    <row r="587" customFormat="false" ht="15" hidden="false" customHeight="false" outlineLevel="0" collapsed="false">
      <c r="A587" s="25" t="n">
        <v>46269</v>
      </c>
      <c r="B587" s="26" t="s">
        <v>16</v>
      </c>
      <c r="C587" s="26" t="s">
        <v>72</v>
      </c>
      <c r="D587" s="26" t="n">
        <v>480</v>
      </c>
      <c r="E587" s="26" t="n">
        <v>12</v>
      </c>
      <c r="F587" s="26" t="n">
        <v>4942</v>
      </c>
      <c r="G587" s="26" t="n">
        <v>4821</v>
      </c>
      <c r="H587" s="19" t="n">
        <f aca="false">SUMIFS(Paradas!$E$2:$E$1973,Paradas!$A$2:$A$1973,A587,Paradas!$B$2:$B$1973,B587,Paradas!$C$2:$C$1973,C587)</f>
        <v>5</v>
      </c>
      <c r="I587" s="19" t="n">
        <f aca="false">D587-H587</f>
        <v>475</v>
      </c>
      <c r="J587" s="19" t="n">
        <f aca="false">I587*E587</f>
        <v>5700</v>
      </c>
      <c r="K587" s="16" t="n">
        <f aca="false">IF(D587=0,0,I587/D587)</f>
        <v>0.989583333333333</v>
      </c>
      <c r="L587" s="16" t="n">
        <f aca="false">IF(J587=0,0,F587/J587)</f>
        <v>0.867017543859649</v>
      </c>
      <c r="M587" s="16" t="n">
        <f aca="false">IF(F587=0,0,G587/F587)</f>
        <v>0.975515985431</v>
      </c>
      <c r="N587" s="16" t="n">
        <f aca="false">K587*L587*M587</f>
        <v>0.836979166666667</v>
      </c>
      <c r="O587" s="19" t="n">
        <f aca="false">MONTH(A587)</f>
        <v>9</v>
      </c>
      <c r="P587" s="19" t="n">
        <f aca="false">INT((A587-DATE(2026,7,1))/7)+1</f>
        <v>10</v>
      </c>
    </row>
    <row r="588" customFormat="false" ht="15" hidden="false" customHeight="false" outlineLevel="0" collapsed="false">
      <c r="A588" s="25" t="n">
        <v>46269</v>
      </c>
      <c r="B588" s="26" t="s">
        <v>16</v>
      </c>
      <c r="C588" s="26" t="s">
        <v>73</v>
      </c>
      <c r="D588" s="26" t="n">
        <v>480</v>
      </c>
      <c r="E588" s="26" t="n">
        <v>12</v>
      </c>
      <c r="F588" s="26" t="n">
        <v>4870</v>
      </c>
      <c r="G588" s="26" t="n">
        <v>4835</v>
      </c>
      <c r="H588" s="19" t="n">
        <f aca="false">SUMIFS(Paradas!$E$2:$E$1973,Paradas!$A$2:$A$1973,A588,Paradas!$B$2:$B$1973,B588,Paradas!$C$2:$C$1973,C588)</f>
        <v>0</v>
      </c>
      <c r="I588" s="19" t="n">
        <f aca="false">D588-H588</f>
        <v>480</v>
      </c>
      <c r="J588" s="19" t="n">
        <f aca="false">I588*E588</f>
        <v>5760</v>
      </c>
      <c r="K588" s="16" t="n">
        <f aca="false">IF(D588=0,0,I588/D588)</f>
        <v>1</v>
      </c>
      <c r="L588" s="16" t="n">
        <f aca="false">IF(J588=0,0,F588/J588)</f>
        <v>0.845486111111111</v>
      </c>
      <c r="M588" s="16" t="n">
        <f aca="false">IF(F588=0,0,G588/F588)</f>
        <v>0.992813141683778</v>
      </c>
      <c r="N588" s="16" t="n">
        <f aca="false">K588*L588*M588</f>
        <v>0.839409722222222</v>
      </c>
      <c r="O588" s="19" t="n">
        <f aca="false">MONTH(A588)</f>
        <v>9</v>
      </c>
      <c r="P588" s="19" t="n">
        <f aca="false">INT((A588-DATE(2026,7,1))/7)+1</f>
        <v>10</v>
      </c>
    </row>
    <row r="589" customFormat="false" ht="15" hidden="false" customHeight="false" outlineLevel="0" collapsed="false">
      <c r="A589" s="25" t="n">
        <v>46269</v>
      </c>
      <c r="B589" s="26" t="s">
        <v>16</v>
      </c>
      <c r="C589" s="26" t="s">
        <v>74</v>
      </c>
      <c r="D589" s="26" t="n">
        <v>480</v>
      </c>
      <c r="E589" s="26" t="n">
        <v>12</v>
      </c>
      <c r="F589" s="26" t="n">
        <v>4267</v>
      </c>
      <c r="G589" s="26" t="n">
        <v>4149</v>
      </c>
      <c r="H589" s="19" t="n">
        <f aca="false">SUMIFS(Paradas!$E$2:$E$1973,Paradas!$A$2:$A$1973,A589,Paradas!$B$2:$B$1973,B589,Paradas!$C$2:$C$1973,C589)</f>
        <v>37</v>
      </c>
      <c r="I589" s="19" t="n">
        <f aca="false">D589-H589</f>
        <v>443</v>
      </c>
      <c r="J589" s="19" t="n">
        <f aca="false">I589*E589</f>
        <v>5316</v>
      </c>
      <c r="K589" s="16" t="n">
        <f aca="false">IF(D589=0,0,I589/D589)</f>
        <v>0.922916666666667</v>
      </c>
      <c r="L589" s="16" t="n">
        <f aca="false">IF(J589=0,0,F589/J589)</f>
        <v>0.802671181339353</v>
      </c>
      <c r="M589" s="16" t="n">
        <f aca="false">IF(F589=0,0,G589/F589)</f>
        <v>0.972345910475744</v>
      </c>
      <c r="N589" s="16" t="n">
        <f aca="false">K589*L589*M589</f>
        <v>0.7203125</v>
      </c>
      <c r="O589" s="19" t="n">
        <f aca="false">MONTH(A589)</f>
        <v>9</v>
      </c>
      <c r="P589" s="19" t="n">
        <f aca="false">INT((A589-DATE(2026,7,1))/7)+1</f>
        <v>10</v>
      </c>
    </row>
    <row r="590" customFormat="false" ht="15" hidden="false" customHeight="false" outlineLevel="0" collapsed="false">
      <c r="A590" s="25" t="n">
        <v>46269</v>
      </c>
      <c r="B590" s="26" t="s">
        <v>17</v>
      </c>
      <c r="C590" s="26" t="s">
        <v>72</v>
      </c>
      <c r="D590" s="26" t="n">
        <v>480</v>
      </c>
      <c r="E590" s="26" t="n">
        <v>10</v>
      </c>
      <c r="F590" s="26" t="n">
        <v>4149</v>
      </c>
      <c r="G590" s="26" t="n">
        <v>4017</v>
      </c>
      <c r="H590" s="19" t="n">
        <f aca="false">SUMIFS(Paradas!$E$2:$E$1973,Paradas!$A$2:$A$1973,A590,Paradas!$B$2:$B$1973,B590,Paradas!$C$2:$C$1973,C590)</f>
        <v>0</v>
      </c>
      <c r="I590" s="19" t="n">
        <f aca="false">D590-H590</f>
        <v>480</v>
      </c>
      <c r="J590" s="19" t="n">
        <f aca="false">I590*E590</f>
        <v>4800</v>
      </c>
      <c r="K590" s="16" t="n">
        <f aca="false">IF(D590=0,0,I590/D590)</f>
        <v>1</v>
      </c>
      <c r="L590" s="16" t="n">
        <f aca="false">IF(J590=0,0,F590/J590)</f>
        <v>0.864375</v>
      </c>
      <c r="M590" s="16" t="n">
        <f aca="false">IF(F590=0,0,G590/F590)</f>
        <v>0.968185104844541</v>
      </c>
      <c r="N590" s="16" t="n">
        <f aca="false">K590*L590*M590</f>
        <v>0.836875</v>
      </c>
      <c r="O590" s="19" t="n">
        <f aca="false">MONTH(A590)</f>
        <v>9</v>
      </c>
      <c r="P590" s="19" t="n">
        <f aca="false">INT((A590-DATE(2026,7,1))/7)+1</f>
        <v>10</v>
      </c>
    </row>
    <row r="591" customFormat="false" ht="15" hidden="false" customHeight="false" outlineLevel="0" collapsed="false">
      <c r="A591" s="25" t="n">
        <v>46269</v>
      </c>
      <c r="B591" s="26" t="s">
        <v>17</v>
      </c>
      <c r="C591" s="26" t="s">
        <v>73</v>
      </c>
      <c r="D591" s="26" t="n">
        <v>480</v>
      </c>
      <c r="E591" s="26" t="n">
        <v>10</v>
      </c>
      <c r="F591" s="26" t="n">
        <v>3674</v>
      </c>
      <c r="G591" s="26" t="n">
        <v>3515</v>
      </c>
      <c r="H591" s="19" t="n">
        <f aca="false">SUMIFS(Paradas!$E$2:$E$1973,Paradas!$A$2:$A$1973,A591,Paradas!$B$2:$B$1973,B591,Paradas!$C$2:$C$1973,C591)</f>
        <v>53</v>
      </c>
      <c r="I591" s="19" t="n">
        <f aca="false">D591-H591</f>
        <v>427</v>
      </c>
      <c r="J591" s="19" t="n">
        <f aca="false">I591*E591</f>
        <v>4270</v>
      </c>
      <c r="K591" s="16" t="n">
        <f aca="false">IF(D591=0,0,I591/D591)</f>
        <v>0.889583333333333</v>
      </c>
      <c r="L591" s="16" t="n">
        <f aca="false">IF(J591=0,0,F591/J591)</f>
        <v>0.860421545667447</v>
      </c>
      <c r="M591" s="16" t="n">
        <f aca="false">IF(F591=0,0,G591/F591)</f>
        <v>0.956722917800762</v>
      </c>
      <c r="N591" s="16" t="n">
        <f aca="false">K591*L591*M591</f>
        <v>0.732291666666667</v>
      </c>
      <c r="O591" s="19" t="n">
        <f aca="false">MONTH(A591)</f>
        <v>9</v>
      </c>
      <c r="P591" s="19" t="n">
        <f aca="false">INT((A591-DATE(2026,7,1))/7)+1</f>
        <v>10</v>
      </c>
    </row>
    <row r="592" customFormat="false" ht="15" hidden="false" customHeight="false" outlineLevel="0" collapsed="false">
      <c r="A592" s="25" t="n">
        <v>46269</v>
      </c>
      <c r="B592" s="26" t="s">
        <v>17</v>
      </c>
      <c r="C592" s="26" t="s">
        <v>74</v>
      </c>
      <c r="D592" s="26" t="n">
        <v>480</v>
      </c>
      <c r="E592" s="26" t="n">
        <v>10</v>
      </c>
      <c r="F592" s="26" t="n">
        <v>2757</v>
      </c>
      <c r="G592" s="26" t="n">
        <v>2634</v>
      </c>
      <c r="H592" s="19" t="n">
        <f aca="false">SUMIFS(Paradas!$E$2:$E$1973,Paradas!$A$2:$A$1973,A592,Paradas!$B$2:$B$1973,B592,Paradas!$C$2:$C$1973,C592)</f>
        <v>170</v>
      </c>
      <c r="I592" s="19" t="n">
        <f aca="false">D592-H592</f>
        <v>310</v>
      </c>
      <c r="J592" s="19" t="n">
        <f aca="false">I592*E592</f>
        <v>3100</v>
      </c>
      <c r="K592" s="16" t="n">
        <f aca="false">IF(D592=0,0,I592/D592)</f>
        <v>0.645833333333333</v>
      </c>
      <c r="L592" s="16" t="n">
        <f aca="false">IF(J592=0,0,F592/J592)</f>
        <v>0.889354838709678</v>
      </c>
      <c r="M592" s="16" t="n">
        <f aca="false">IF(F592=0,0,G592/F592)</f>
        <v>0.955386289445049</v>
      </c>
      <c r="N592" s="16" t="n">
        <f aca="false">K592*L592*M592</f>
        <v>0.54875</v>
      </c>
      <c r="O592" s="19" t="n">
        <f aca="false">MONTH(A592)</f>
        <v>9</v>
      </c>
      <c r="P592" s="19" t="n">
        <f aca="false">INT((A592-DATE(2026,7,1))/7)+1</f>
        <v>10</v>
      </c>
    </row>
    <row r="593" customFormat="false" ht="15" hidden="false" customHeight="false" outlineLevel="0" collapsed="false">
      <c r="A593" s="25" t="n">
        <v>46269</v>
      </c>
      <c r="B593" s="26" t="s">
        <v>18</v>
      </c>
      <c r="C593" s="26" t="s">
        <v>72</v>
      </c>
      <c r="D593" s="26" t="n">
        <v>480</v>
      </c>
      <c r="E593" s="26" t="n">
        <v>8</v>
      </c>
      <c r="F593" s="26" t="n">
        <v>2422</v>
      </c>
      <c r="G593" s="26" t="n">
        <v>2367</v>
      </c>
      <c r="H593" s="19" t="n">
        <f aca="false">SUMIFS(Paradas!$E$2:$E$1973,Paradas!$A$2:$A$1973,A593,Paradas!$B$2:$B$1973,B593,Paradas!$C$2:$C$1973,C593)</f>
        <v>137</v>
      </c>
      <c r="I593" s="19" t="n">
        <f aca="false">D593-H593</f>
        <v>343</v>
      </c>
      <c r="J593" s="19" t="n">
        <f aca="false">I593*E593</f>
        <v>2744</v>
      </c>
      <c r="K593" s="16" t="n">
        <f aca="false">IF(D593=0,0,I593/D593)</f>
        <v>0.714583333333333</v>
      </c>
      <c r="L593" s="16" t="n">
        <f aca="false">IF(J593=0,0,F593/J593)</f>
        <v>0.88265306122449</v>
      </c>
      <c r="M593" s="16" t="n">
        <f aca="false">IF(F593=0,0,G593/F593)</f>
        <v>0.977291494632535</v>
      </c>
      <c r="N593" s="16" t="n">
        <f aca="false">K593*L593*M593</f>
        <v>0.61640625</v>
      </c>
      <c r="O593" s="19" t="n">
        <f aca="false">MONTH(A593)</f>
        <v>9</v>
      </c>
      <c r="P593" s="19" t="n">
        <f aca="false">INT((A593-DATE(2026,7,1))/7)+1</f>
        <v>10</v>
      </c>
    </row>
    <row r="594" customFormat="false" ht="15" hidden="false" customHeight="false" outlineLevel="0" collapsed="false">
      <c r="A594" s="25" t="n">
        <v>46269</v>
      </c>
      <c r="B594" s="26" t="s">
        <v>18</v>
      </c>
      <c r="C594" s="26" t="s">
        <v>73</v>
      </c>
      <c r="D594" s="26" t="n">
        <v>480</v>
      </c>
      <c r="E594" s="26" t="n">
        <v>8</v>
      </c>
      <c r="F594" s="26" t="n">
        <v>2435</v>
      </c>
      <c r="G594" s="26" t="n">
        <v>2400</v>
      </c>
      <c r="H594" s="19" t="n">
        <f aca="false">SUMIFS(Paradas!$E$2:$E$1973,Paradas!$A$2:$A$1973,A594,Paradas!$B$2:$B$1973,B594,Paradas!$C$2:$C$1973,C594)</f>
        <v>157</v>
      </c>
      <c r="I594" s="19" t="n">
        <f aca="false">D594-H594</f>
        <v>323</v>
      </c>
      <c r="J594" s="19" t="n">
        <f aca="false">I594*E594</f>
        <v>2584</v>
      </c>
      <c r="K594" s="16" t="n">
        <f aca="false">IF(D594=0,0,I594/D594)</f>
        <v>0.672916666666667</v>
      </c>
      <c r="L594" s="16" t="n">
        <f aca="false">IF(J594=0,0,F594/J594)</f>
        <v>0.94233746130031</v>
      </c>
      <c r="M594" s="16" t="n">
        <f aca="false">IF(F594=0,0,G594/F594)</f>
        <v>0.985626283367556</v>
      </c>
      <c r="N594" s="16" t="n">
        <f aca="false">K594*L594*M594</f>
        <v>0.625</v>
      </c>
      <c r="O594" s="19" t="n">
        <f aca="false">MONTH(A594)</f>
        <v>9</v>
      </c>
      <c r="P594" s="19" t="n">
        <f aca="false">INT((A594-DATE(2026,7,1))/7)+1</f>
        <v>10</v>
      </c>
    </row>
    <row r="595" customFormat="false" ht="15" hidden="false" customHeight="false" outlineLevel="0" collapsed="false">
      <c r="A595" s="25" t="n">
        <v>46269</v>
      </c>
      <c r="B595" s="26" t="s">
        <v>18</v>
      </c>
      <c r="C595" s="26" t="s">
        <v>74</v>
      </c>
      <c r="D595" s="26" t="n">
        <v>480</v>
      </c>
      <c r="E595" s="26" t="n">
        <v>8</v>
      </c>
      <c r="F595" s="26" t="n">
        <v>3247</v>
      </c>
      <c r="G595" s="26" t="n">
        <v>3104</v>
      </c>
      <c r="H595" s="19" t="n">
        <f aca="false">SUMIFS(Paradas!$E$2:$E$1973,Paradas!$A$2:$A$1973,A595,Paradas!$B$2:$B$1973,B595,Paradas!$C$2:$C$1973,C595)</f>
        <v>0</v>
      </c>
      <c r="I595" s="19" t="n">
        <f aca="false">D595-H595</f>
        <v>480</v>
      </c>
      <c r="J595" s="19" t="n">
        <f aca="false">I595*E595</f>
        <v>3840</v>
      </c>
      <c r="K595" s="16" t="n">
        <f aca="false">IF(D595=0,0,I595/D595)</f>
        <v>1</v>
      </c>
      <c r="L595" s="16" t="n">
        <f aca="false">IF(J595=0,0,F595/J595)</f>
        <v>0.845572916666667</v>
      </c>
      <c r="M595" s="16" t="n">
        <f aca="false">IF(F595=0,0,G595/F595)</f>
        <v>0.955959347089621</v>
      </c>
      <c r="N595" s="16" t="n">
        <f aca="false">K595*L595*M595</f>
        <v>0.808333333333333</v>
      </c>
      <c r="O595" s="19" t="n">
        <f aca="false">MONTH(A595)</f>
        <v>9</v>
      </c>
      <c r="P595" s="19" t="n">
        <f aca="false">INT((A595-DATE(2026,7,1))/7)+1</f>
        <v>10</v>
      </c>
    </row>
    <row r="596" customFormat="false" ht="15" hidden="false" customHeight="false" outlineLevel="0" collapsed="false">
      <c r="A596" s="25" t="n">
        <v>46270</v>
      </c>
      <c r="B596" s="26" t="s">
        <v>16</v>
      </c>
      <c r="C596" s="26" t="s">
        <v>72</v>
      </c>
      <c r="D596" s="26" t="n">
        <v>480</v>
      </c>
      <c r="E596" s="26" t="n">
        <v>12</v>
      </c>
      <c r="F596" s="26" t="n">
        <v>4788</v>
      </c>
      <c r="G596" s="26" t="n">
        <v>4691</v>
      </c>
      <c r="H596" s="19" t="n">
        <f aca="false">SUMIFS(Paradas!$E$2:$E$1973,Paradas!$A$2:$A$1973,A596,Paradas!$B$2:$B$1973,B596,Paradas!$C$2:$C$1973,C596)</f>
        <v>59</v>
      </c>
      <c r="I596" s="19" t="n">
        <f aca="false">D596-H596</f>
        <v>421</v>
      </c>
      <c r="J596" s="19" t="n">
        <f aca="false">I596*E596</f>
        <v>5052</v>
      </c>
      <c r="K596" s="16" t="n">
        <f aca="false">IF(D596=0,0,I596/D596)</f>
        <v>0.877083333333333</v>
      </c>
      <c r="L596" s="16" t="n">
        <f aca="false">IF(J596=0,0,F596/J596)</f>
        <v>0.947743467933492</v>
      </c>
      <c r="M596" s="16" t="n">
        <f aca="false">IF(F596=0,0,G596/F596)</f>
        <v>0.979741019214704</v>
      </c>
      <c r="N596" s="16" t="n">
        <f aca="false">K596*L596*M596</f>
        <v>0.814409722222222</v>
      </c>
      <c r="O596" s="19" t="n">
        <f aca="false">MONTH(A596)</f>
        <v>9</v>
      </c>
      <c r="P596" s="19" t="n">
        <f aca="false">INT((A596-DATE(2026,7,1))/7)+1</f>
        <v>10</v>
      </c>
    </row>
    <row r="597" customFormat="false" ht="15" hidden="false" customHeight="false" outlineLevel="0" collapsed="false">
      <c r="A597" s="25" t="n">
        <v>46270</v>
      </c>
      <c r="B597" s="26" t="s">
        <v>16</v>
      </c>
      <c r="C597" s="26" t="s">
        <v>73</v>
      </c>
      <c r="D597" s="26" t="n">
        <v>480</v>
      </c>
      <c r="E597" s="26" t="n">
        <v>12</v>
      </c>
      <c r="F597" s="26" t="n">
        <v>4127</v>
      </c>
      <c r="G597" s="26" t="n">
        <v>4080</v>
      </c>
      <c r="H597" s="19" t="n">
        <f aca="false">SUMIFS(Paradas!$E$2:$E$1973,Paradas!$A$2:$A$1973,A597,Paradas!$B$2:$B$1973,B597,Paradas!$C$2:$C$1973,C597)</f>
        <v>100</v>
      </c>
      <c r="I597" s="19" t="n">
        <f aca="false">D597-H597</f>
        <v>380</v>
      </c>
      <c r="J597" s="19" t="n">
        <f aca="false">I597*E597</f>
        <v>4560</v>
      </c>
      <c r="K597" s="16" t="n">
        <f aca="false">IF(D597=0,0,I597/D597)</f>
        <v>0.791666666666667</v>
      </c>
      <c r="L597" s="16" t="n">
        <f aca="false">IF(J597=0,0,F597/J597)</f>
        <v>0.905043859649123</v>
      </c>
      <c r="M597" s="16" t="n">
        <f aca="false">IF(F597=0,0,G597/F597)</f>
        <v>0.988611582263145</v>
      </c>
      <c r="N597" s="16" t="n">
        <f aca="false">K597*L597*M597</f>
        <v>0.708333333333333</v>
      </c>
      <c r="O597" s="19" t="n">
        <f aca="false">MONTH(A597)</f>
        <v>9</v>
      </c>
      <c r="P597" s="19" t="n">
        <f aca="false">INT((A597-DATE(2026,7,1))/7)+1</f>
        <v>10</v>
      </c>
    </row>
    <row r="598" customFormat="false" ht="15" hidden="false" customHeight="false" outlineLevel="0" collapsed="false">
      <c r="A598" s="25" t="n">
        <v>46270</v>
      </c>
      <c r="B598" s="26" t="s">
        <v>16</v>
      </c>
      <c r="C598" s="26" t="s">
        <v>74</v>
      </c>
      <c r="D598" s="26" t="n">
        <v>480</v>
      </c>
      <c r="E598" s="26" t="n">
        <v>12</v>
      </c>
      <c r="F598" s="26" t="n">
        <v>3313</v>
      </c>
      <c r="G598" s="26" t="n">
        <v>3254</v>
      </c>
      <c r="H598" s="19" t="n">
        <f aca="false">SUMIFS(Paradas!$E$2:$E$1973,Paradas!$A$2:$A$1973,A598,Paradas!$B$2:$B$1973,B598,Paradas!$C$2:$C$1973,C598)</f>
        <v>141</v>
      </c>
      <c r="I598" s="19" t="n">
        <f aca="false">D598-H598</f>
        <v>339</v>
      </c>
      <c r="J598" s="19" t="n">
        <f aca="false">I598*E598</f>
        <v>4068</v>
      </c>
      <c r="K598" s="16" t="n">
        <f aca="false">IF(D598=0,0,I598/D598)</f>
        <v>0.70625</v>
      </c>
      <c r="L598" s="16" t="n">
        <f aca="false">IF(J598=0,0,F598/J598)</f>
        <v>0.81440511307768</v>
      </c>
      <c r="M598" s="16" t="n">
        <f aca="false">IF(F598=0,0,G598/F598)</f>
        <v>0.982191367340779</v>
      </c>
      <c r="N598" s="16" t="n">
        <f aca="false">K598*L598*M598</f>
        <v>0.564930555555556</v>
      </c>
      <c r="O598" s="19" t="n">
        <f aca="false">MONTH(A598)</f>
        <v>9</v>
      </c>
      <c r="P598" s="19" t="n">
        <f aca="false">INT((A598-DATE(2026,7,1))/7)+1</f>
        <v>10</v>
      </c>
    </row>
    <row r="599" customFormat="false" ht="15" hidden="false" customHeight="false" outlineLevel="0" collapsed="false">
      <c r="A599" s="25" t="n">
        <v>46270</v>
      </c>
      <c r="B599" s="26" t="s">
        <v>17</v>
      </c>
      <c r="C599" s="26" t="s">
        <v>72</v>
      </c>
      <c r="D599" s="26" t="n">
        <v>480</v>
      </c>
      <c r="E599" s="26" t="n">
        <v>10</v>
      </c>
      <c r="F599" s="26" t="n">
        <v>3313</v>
      </c>
      <c r="G599" s="26" t="n">
        <v>3159</v>
      </c>
      <c r="H599" s="19" t="n">
        <f aca="false">SUMIFS(Paradas!$E$2:$E$1973,Paradas!$A$2:$A$1973,A599,Paradas!$B$2:$B$1973,B599,Paradas!$C$2:$C$1973,C599)</f>
        <v>133</v>
      </c>
      <c r="I599" s="19" t="n">
        <f aca="false">D599-H599</f>
        <v>347</v>
      </c>
      <c r="J599" s="19" t="n">
        <f aca="false">I599*E599</f>
        <v>3470</v>
      </c>
      <c r="K599" s="16" t="n">
        <f aca="false">IF(D599=0,0,I599/D599)</f>
        <v>0.722916666666667</v>
      </c>
      <c r="L599" s="16" t="n">
        <f aca="false">IF(J599=0,0,F599/J599)</f>
        <v>0.954755043227666</v>
      </c>
      <c r="M599" s="16" t="n">
        <f aca="false">IF(F599=0,0,G599/F599)</f>
        <v>0.953516450347117</v>
      </c>
      <c r="N599" s="16" t="n">
        <f aca="false">K599*L599*M599</f>
        <v>0.658125</v>
      </c>
      <c r="O599" s="19" t="n">
        <f aca="false">MONTH(A599)</f>
        <v>9</v>
      </c>
      <c r="P599" s="19" t="n">
        <f aca="false">INT((A599-DATE(2026,7,1))/7)+1</f>
        <v>10</v>
      </c>
    </row>
    <row r="600" customFormat="false" ht="15" hidden="false" customHeight="false" outlineLevel="0" collapsed="false">
      <c r="A600" s="25" t="n">
        <v>46270</v>
      </c>
      <c r="B600" s="26" t="s">
        <v>17</v>
      </c>
      <c r="C600" s="26" t="s">
        <v>73</v>
      </c>
      <c r="D600" s="26" t="n">
        <v>480</v>
      </c>
      <c r="E600" s="26" t="n">
        <v>10</v>
      </c>
      <c r="F600" s="26" t="n">
        <v>2671</v>
      </c>
      <c r="G600" s="26" t="n">
        <v>2556</v>
      </c>
      <c r="H600" s="19" t="n">
        <f aca="false">SUMIFS(Paradas!$E$2:$E$1973,Paradas!$A$2:$A$1973,A600,Paradas!$B$2:$B$1973,B600,Paradas!$C$2:$C$1973,C600)</f>
        <v>192</v>
      </c>
      <c r="I600" s="19" t="n">
        <f aca="false">D600-H600</f>
        <v>288</v>
      </c>
      <c r="J600" s="19" t="n">
        <f aca="false">I600*E600</f>
        <v>2880</v>
      </c>
      <c r="K600" s="16" t="n">
        <f aca="false">IF(D600=0,0,I600/D600)</f>
        <v>0.6</v>
      </c>
      <c r="L600" s="16" t="n">
        <f aca="false">IF(J600=0,0,F600/J600)</f>
        <v>0.927430555555556</v>
      </c>
      <c r="M600" s="16" t="n">
        <f aca="false">IF(F600=0,0,G600/F600)</f>
        <v>0.956944964432797</v>
      </c>
      <c r="N600" s="16" t="n">
        <f aca="false">K600*L600*M600</f>
        <v>0.5325</v>
      </c>
      <c r="O600" s="19" t="n">
        <f aca="false">MONTH(A600)</f>
        <v>9</v>
      </c>
      <c r="P600" s="19" t="n">
        <f aca="false">INT((A600-DATE(2026,7,1))/7)+1</f>
        <v>10</v>
      </c>
    </row>
    <row r="601" customFormat="false" ht="15" hidden="false" customHeight="false" outlineLevel="0" collapsed="false">
      <c r="A601" s="25" t="n">
        <v>46270</v>
      </c>
      <c r="B601" s="26" t="s">
        <v>17</v>
      </c>
      <c r="C601" s="26" t="s">
        <v>74</v>
      </c>
      <c r="D601" s="26" t="n">
        <v>480</v>
      </c>
      <c r="E601" s="26" t="n">
        <v>10</v>
      </c>
      <c r="F601" s="26" t="n">
        <v>3304</v>
      </c>
      <c r="G601" s="26" t="n">
        <v>3113</v>
      </c>
      <c r="H601" s="19" t="n">
        <f aca="false">SUMIFS(Paradas!$E$2:$E$1973,Paradas!$A$2:$A$1973,A601,Paradas!$B$2:$B$1973,B601,Paradas!$C$2:$C$1973,C601)</f>
        <v>96</v>
      </c>
      <c r="I601" s="19" t="n">
        <f aca="false">D601-H601</f>
        <v>384</v>
      </c>
      <c r="J601" s="19" t="n">
        <f aca="false">I601*E601</f>
        <v>3840</v>
      </c>
      <c r="K601" s="16" t="n">
        <f aca="false">IF(D601=0,0,I601/D601)</f>
        <v>0.8</v>
      </c>
      <c r="L601" s="16" t="n">
        <f aca="false">IF(J601=0,0,F601/J601)</f>
        <v>0.860416666666667</v>
      </c>
      <c r="M601" s="16" t="n">
        <f aca="false">IF(F601=0,0,G601/F601)</f>
        <v>0.942191283292978</v>
      </c>
      <c r="N601" s="16" t="n">
        <f aca="false">K601*L601*M601</f>
        <v>0.648541666666667</v>
      </c>
      <c r="O601" s="19" t="n">
        <f aca="false">MONTH(A601)</f>
        <v>9</v>
      </c>
      <c r="P601" s="19" t="n">
        <f aca="false">INT((A601-DATE(2026,7,1))/7)+1</f>
        <v>10</v>
      </c>
    </row>
    <row r="602" customFormat="false" ht="15" hidden="false" customHeight="false" outlineLevel="0" collapsed="false">
      <c r="A602" s="25" t="n">
        <v>46270</v>
      </c>
      <c r="B602" s="26" t="s">
        <v>18</v>
      </c>
      <c r="C602" s="26" t="s">
        <v>72</v>
      </c>
      <c r="D602" s="26" t="n">
        <v>480</v>
      </c>
      <c r="E602" s="26" t="n">
        <v>8</v>
      </c>
      <c r="F602" s="26" t="n">
        <v>2514</v>
      </c>
      <c r="G602" s="26" t="n">
        <v>2449</v>
      </c>
      <c r="H602" s="19" t="n">
        <f aca="false">SUMIFS(Paradas!$E$2:$E$1973,Paradas!$A$2:$A$1973,A602,Paradas!$B$2:$B$1973,B602,Paradas!$C$2:$C$1973,C602)</f>
        <v>134</v>
      </c>
      <c r="I602" s="19" t="n">
        <f aca="false">D602-H602</f>
        <v>346</v>
      </c>
      <c r="J602" s="19" t="n">
        <f aca="false">I602*E602</f>
        <v>2768</v>
      </c>
      <c r="K602" s="16" t="n">
        <f aca="false">IF(D602=0,0,I602/D602)</f>
        <v>0.720833333333333</v>
      </c>
      <c r="L602" s="16" t="n">
        <f aca="false">IF(J602=0,0,F602/J602)</f>
        <v>0.908236994219653</v>
      </c>
      <c r="M602" s="16" t="n">
        <f aca="false">IF(F602=0,0,G602/F602)</f>
        <v>0.974144789180589</v>
      </c>
      <c r="N602" s="16" t="n">
        <f aca="false">K602*L602*M602</f>
        <v>0.637760416666667</v>
      </c>
      <c r="O602" s="19" t="n">
        <f aca="false">MONTH(A602)</f>
        <v>9</v>
      </c>
      <c r="P602" s="19" t="n">
        <f aca="false">INT((A602-DATE(2026,7,1))/7)+1</f>
        <v>10</v>
      </c>
    </row>
    <row r="603" customFormat="false" ht="15" hidden="false" customHeight="false" outlineLevel="0" collapsed="false">
      <c r="A603" s="25" t="n">
        <v>46270</v>
      </c>
      <c r="B603" s="26" t="s">
        <v>18</v>
      </c>
      <c r="C603" s="26" t="s">
        <v>73</v>
      </c>
      <c r="D603" s="26" t="n">
        <v>480</v>
      </c>
      <c r="E603" s="26" t="n">
        <v>8</v>
      </c>
      <c r="F603" s="26" t="n">
        <v>2958</v>
      </c>
      <c r="G603" s="26" t="n">
        <v>2885</v>
      </c>
      <c r="H603" s="19" t="n">
        <f aca="false">SUMIFS(Paradas!$E$2:$E$1973,Paradas!$A$2:$A$1973,A603,Paradas!$B$2:$B$1973,B603,Paradas!$C$2:$C$1973,C603)</f>
        <v>57</v>
      </c>
      <c r="I603" s="19" t="n">
        <f aca="false">D603-H603</f>
        <v>423</v>
      </c>
      <c r="J603" s="19" t="n">
        <f aca="false">I603*E603</f>
        <v>3384</v>
      </c>
      <c r="K603" s="16" t="n">
        <f aca="false">IF(D603=0,0,I603/D603)</f>
        <v>0.88125</v>
      </c>
      <c r="L603" s="16" t="n">
        <f aca="false">IF(J603=0,0,F603/J603)</f>
        <v>0.874113475177305</v>
      </c>
      <c r="M603" s="16" t="n">
        <f aca="false">IF(F603=0,0,G603/F603)</f>
        <v>0.975321162947938</v>
      </c>
      <c r="N603" s="16" t="n">
        <f aca="false">K603*L603*M603</f>
        <v>0.751302083333333</v>
      </c>
      <c r="O603" s="19" t="n">
        <f aca="false">MONTH(A603)</f>
        <v>9</v>
      </c>
      <c r="P603" s="19" t="n">
        <f aca="false">INT((A603-DATE(2026,7,1))/7)+1</f>
        <v>10</v>
      </c>
    </row>
    <row r="604" customFormat="false" ht="15" hidden="false" customHeight="false" outlineLevel="0" collapsed="false">
      <c r="A604" s="25" t="n">
        <v>46270</v>
      </c>
      <c r="B604" s="26" t="s">
        <v>18</v>
      </c>
      <c r="C604" s="26" t="s">
        <v>74</v>
      </c>
      <c r="D604" s="26" t="n">
        <v>480</v>
      </c>
      <c r="E604" s="26" t="n">
        <v>8</v>
      </c>
      <c r="F604" s="26" t="n">
        <v>2664</v>
      </c>
      <c r="G604" s="26" t="n">
        <v>2626</v>
      </c>
      <c r="H604" s="19" t="n">
        <f aca="false">SUMIFS(Paradas!$E$2:$E$1973,Paradas!$A$2:$A$1973,A604,Paradas!$B$2:$B$1973,B604,Paradas!$C$2:$C$1973,C604)</f>
        <v>85</v>
      </c>
      <c r="I604" s="19" t="n">
        <f aca="false">D604-H604</f>
        <v>395</v>
      </c>
      <c r="J604" s="19" t="n">
        <f aca="false">I604*E604</f>
        <v>3160</v>
      </c>
      <c r="K604" s="16" t="n">
        <f aca="false">IF(D604=0,0,I604/D604)</f>
        <v>0.822916666666667</v>
      </c>
      <c r="L604" s="16" t="n">
        <f aca="false">IF(J604=0,0,F604/J604)</f>
        <v>0.843037974683544</v>
      </c>
      <c r="M604" s="16" t="n">
        <f aca="false">IF(F604=0,0,G604/F604)</f>
        <v>0.985735735735736</v>
      </c>
      <c r="N604" s="16" t="n">
        <f aca="false">K604*L604*M604</f>
        <v>0.683854166666667</v>
      </c>
      <c r="O604" s="19" t="n">
        <f aca="false">MONTH(A604)</f>
        <v>9</v>
      </c>
      <c r="P604" s="19" t="n">
        <f aca="false">INT((A604-DATE(2026,7,1))/7)+1</f>
        <v>10</v>
      </c>
    </row>
    <row r="605" customFormat="false" ht="15" hidden="false" customHeight="false" outlineLevel="0" collapsed="false">
      <c r="A605" s="25" t="n">
        <v>46271</v>
      </c>
      <c r="B605" s="26" t="s">
        <v>16</v>
      </c>
      <c r="C605" s="26" t="s">
        <v>72</v>
      </c>
      <c r="D605" s="26" t="n">
        <v>480</v>
      </c>
      <c r="E605" s="26" t="n">
        <v>12</v>
      </c>
      <c r="F605" s="26" t="n">
        <v>4968</v>
      </c>
      <c r="G605" s="26" t="n">
        <v>4958</v>
      </c>
      <c r="H605" s="19" t="n">
        <f aca="false">SUMIFS(Paradas!$E$2:$E$1973,Paradas!$A$2:$A$1973,A605,Paradas!$B$2:$B$1973,B605,Paradas!$C$2:$C$1973,C605)</f>
        <v>0</v>
      </c>
      <c r="I605" s="19" t="n">
        <f aca="false">D605-H605</f>
        <v>480</v>
      </c>
      <c r="J605" s="19" t="n">
        <f aca="false">I605*E605</f>
        <v>5760</v>
      </c>
      <c r="K605" s="16" t="n">
        <f aca="false">IF(D605=0,0,I605/D605)</f>
        <v>1</v>
      </c>
      <c r="L605" s="16" t="n">
        <f aca="false">IF(J605=0,0,F605/J605)</f>
        <v>0.8625</v>
      </c>
      <c r="M605" s="16" t="n">
        <f aca="false">IF(F605=0,0,G605/F605)</f>
        <v>0.997987117552335</v>
      </c>
      <c r="N605" s="16" t="n">
        <f aca="false">K605*L605*M605</f>
        <v>0.860763888888889</v>
      </c>
      <c r="O605" s="19" t="n">
        <f aca="false">MONTH(A605)</f>
        <v>9</v>
      </c>
      <c r="P605" s="19" t="n">
        <f aca="false">INT((A605-DATE(2026,7,1))/7)+1</f>
        <v>10</v>
      </c>
    </row>
    <row r="606" customFormat="false" ht="15" hidden="false" customHeight="false" outlineLevel="0" collapsed="false">
      <c r="A606" s="25" t="n">
        <v>46271</v>
      </c>
      <c r="B606" s="26" t="s">
        <v>16</v>
      </c>
      <c r="C606" s="26" t="s">
        <v>73</v>
      </c>
      <c r="D606" s="26" t="n">
        <v>480</v>
      </c>
      <c r="E606" s="26" t="n">
        <v>12</v>
      </c>
      <c r="F606" s="26" t="n">
        <v>4179</v>
      </c>
      <c r="G606" s="26" t="n">
        <v>4130</v>
      </c>
      <c r="H606" s="19" t="n">
        <f aca="false">SUMIFS(Paradas!$E$2:$E$1973,Paradas!$A$2:$A$1973,A606,Paradas!$B$2:$B$1973,B606,Paradas!$C$2:$C$1973,C606)</f>
        <v>80</v>
      </c>
      <c r="I606" s="19" t="n">
        <f aca="false">D606-H606</f>
        <v>400</v>
      </c>
      <c r="J606" s="19" t="n">
        <f aca="false">I606*E606</f>
        <v>4800</v>
      </c>
      <c r="K606" s="16" t="n">
        <f aca="false">IF(D606=0,0,I606/D606)</f>
        <v>0.833333333333333</v>
      </c>
      <c r="L606" s="16" t="n">
        <f aca="false">IF(J606=0,0,F606/J606)</f>
        <v>0.870625</v>
      </c>
      <c r="M606" s="16" t="n">
        <f aca="false">IF(F606=0,0,G606/F606)</f>
        <v>0.988274706867672</v>
      </c>
      <c r="N606" s="16" t="n">
        <f aca="false">K606*L606*M606</f>
        <v>0.717013888888889</v>
      </c>
      <c r="O606" s="19" t="n">
        <f aca="false">MONTH(A606)</f>
        <v>9</v>
      </c>
      <c r="P606" s="19" t="n">
        <f aca="false">INT((A606-DATE(2026,7,1))/7)+1</f>
        <v>10</v>
      </c>
    </row>
    <row r="607" customFormat="false" ht="15" hidden="false" customHeight="false" outlineLevel="0" collapsed="false">
      <c r="A607" s="25" t="n">
        <v>46271</v>
      </c>
      <c r="B607" s="26" t="s">
        <v>16</v>
      </c>
      <c r="C607" s="26" t="s">
        <v>74</v>
      </c>
      <c r="D607" s="26" t="n">
        <v>480</v>
      </c>
      <c r="E607" s="26" t="n">
        <v>12</v>
      </c>
      <c r="F607" s="26" t="n">
        <v>4558</v>
      </c>
      <c r="G607" s="26" t="n">
        <v>4455</v>
      </c>
      <c r="H607" s="19" t="n">
        <f aca="false">SUMIFS(Paradas!$E$2:$E$1973,Paradas!$A$2:$A$1973,A607,Paradas!$B$2:$B$1973,B607,Paradas!$C$2:$C$1973,C607)</f>
        <v>42</v>
      </c>
      <c r="I607" s="19" t="n">
        <f aca="false">D607-H607</f>
        <v>438</v>
      </c>
      <c r="J607" s="19" t="n">
        <f aca="false">I607*E607</f>
        <v>5256</v>
      </c>
      <c r="K607" s="16" t="n">
        <f aca="false">IF(D607=0,0,I607/D607)</f>
        <v>0.9125</v>
      </c>
      <c r="L607" s="16" t="n">
        <f aca="false">IF(J607=0,0,F607/J607)</f>
        <v>0.867199391171994</v>
      </c>
      <c r="M607" s="16" t="n">
        <f aca="false">IF(F607=0,0,G607/F607)</f>
        <v>0.97740236946029</v>
      </c>
      <c r="N607" s="16" t="n">
        <f aca="false">K607*L607*M607</f>
        <v>0.7734375</v>
      </c>
      <c r="O607" s="19" t="n">
        <f aca="false">MONTH(A607)</f>
        <v>9</v>
      </c>
      <c r="P607" s="19" t="n">
        <f aca="false">INT((A607-DATE(2026,7,1))/7)+1</f>
        <v>10</v>
      </c>
    </row>
    <row r="608" customFormat="false" ht="15" hidden="false" customHeight="false" outlineLevel="0" collapsed="false">
      <c r="A608" s="25" t="n">
        <v>46271</v>
      </c>
      <c r="B608" s="26" t="s">
        <v>17</v>
      </c>
      <c r="C608" s="26" t="s">
        <v>72</v>
      </c>
      <c r="D608" s="26" t="n">
        <v>480</v>
      </c>
      <c r="E608" s="26" t="n">
        <v>10</v>
      </c>
      <c r="F608" s="26" t="n">
        <v>4085</v>
      </c>
      <c r="G608" s="26" t="n">
        <v>3907</v>
      </c>
      <c r="H608" s="19" t="n">
        <f aca="false">SUMIFS(Paradas!$E$2:$E$1973,Paradas!$A$2:$A$1973,A608,Paradas!$B$2:$B$1973,B608,Paradas!$C$2:$C$1973,C608)</f>
        <v>30</v>
      </c>
      <c r="I608" s="19" t="n">
        <f aca="false">D608-H608</f>
        <v>450</v>
      </c>
      <c r="J608" s="19" t="n">
        <f aca="false">I608*E608</f>
        <v>4500</v>
      </c>
      <c r="K608" s="16" t="n">
        <f aca="false">IF(D608=0,0,I608/D608)</f>
        <v>0.9375</v>
      </c>
      <c r="L608" s="16" t="n">
        <f aca="false">IF(J608=0,0,F608/J608)</f>
        <v>0.907777777777778</v>
      </c>
      <c r="M608" s="16" t="n">
        <f aca="false">IF(F608=0,0,G608/F608)</f>
        <v>0.956425948592411</v>
      </c>
      <c r="N608" s="16" t="n">
        <f aca="false">K608*L608*M608</f>
        <v>0.813958333333333</v>
      </c>
      <c r="O608" s="19" t="n">
        <f aca="false">MONTH(A608)</f>
        <v>9</v>
      </c>
      <c r="P608" s="19" t="n">
        <f aca="false">INT((A608-DATE(2026,7,1))/7)+1</f>
        <v>10</v>
      </c>
    </row>
    <row r="609" customFormat="false" ht="15" hidden="false" customHeight="false" outlineLevel="0" collapsed="false">
      <c r="A609" s="25" t="n">
        <v>46271</v>
      </c>
      <c r="B609" s="26" t="s">
        <v>17</v>
      </c>
      <c r="C609" s="26" t="s">
        <v>73</v>
      </c>
      <c r="D609" s="26" t="n">
        <v>480</v>
      </c>
      <c r="E609" s="26" t="n">
        <v>10</v>
      </c>
      <c r="F609" s="26" t="n">
        <v>4330</v>
      </c>
      <c r="G609" s="26" t="n">
        <v>4078</v>
      </c>
      <c r="H609" s="19" t="n">
        <f aca="false">SUMIFS(Paradas!$E$2:$E$1973,Paradas!$A$2:$A$1973,A609,Paradas!$B$2:$B$1973,B609,Paradas!$C$2:$C$1973,C609)</f>
        <v>0</v>
      </c>
      <c r="I609" s="19" t="n">
        <f aca="false">D609-H609</f>
        <v>480</v>
      </c>
      <c r="J609" s="19" t="n">
        <f aca="false">I609*E609</f>
        <v>4800</v>
      </c>
      <c r="K609" s="16" t="n">
        <f aca="false">IF(D609=0,0,I609/D609)</f>
        <v>1</v>
      </c>
      <c r="L609" s="16" t="n">
        <f aca="false">IF(J609=0,0,F609/J609)</f>
        <v>0.902083333333333</v>
      </c>
      <c r="M609" s="16" t="n">
        <f aca="false">IF(F609=0,0,G609/F609)</f>
        <v>0.941801385681293</v>
      </c>
      <c r="N609" s="16" t="n">
        <f aca="false">K609*L609*M609</f>
        <v>0.849583333333333</v>
      </c>
      <c r="O609" s="19" t="n">
        <f aca="false">MONTH(A609)</f>
        <v>9</v>
      </c>
      <c r="P609" s="19" t="n">
        <f aca="false">INT((A609-DATE(2026,7,1))/7)+1</f>
        <v>10</v>
      </c>
    </row>
    <row r="610" customFormat="false" ht="15" hidden="false" customHeight="false" outlineLevel="0" collapsed="false">
      <c r="A610" s="25" t="n">
        <v>46271</v>
      </c>
      <c r="B610" s="26" t="s">
        <v>17</v>
      </c>
      <c r="C610" s="26" t="s">
        <v>74</v>
      </c>
      <c r="D610" s="26" t="n">
        <v>480</v>
      </c>
      <c r="E610" s="26" t="n">
        <v>10</v>
      </c>
      <c r="F610" s="26" t="n">
        <v>2905</v>
      </c>
      <c r="G610" s="26" t="n">
        <v>2789</v>
      </c>
      <c r="H610" s="19" t="n">
        <f aca="false">SUMIFS(Paradas!$E$2:$E$1973,Paradas!$A$2:$A$1973,A610,Paradas!$B$2:$B$1973,B610,Paradas!$C$2:$C$1973,C610)</f>
        <v>115</v>
      </c>
      <c r="I610" s="19" t="n">
        <f aca="false">D610-H610</f>
        <v>365</v>
      </c>
      <c r="J610" s="19" t="n">
        <f aca="false">I610*E610</f>
        <v>3650</v>
      </c>
      <c r="K610" s="16" t="n">
        <f aca="false">IF(D610=0,0,I610/D610)</f>
        <v>0.760416666666667</v>
      </c>
      <c r="L610" s="16" t="n">
        <f aca="false">IF(J610=0,0,F610/J610)</f>
        <v>0.795890410958904</v>
      </c>
      <c r="M610" s="16" t="n">
        <f aca="false">IF(F610=0,0,G610/F610)</f>
        <v>0.960068846815835</v>
      </c>
      <c r="N610" s="16" t="n">
        <f aca="false">K610*L610*M610</f>
        <v>0.581041666666667</v>
      </c>
      <c r="O610" s="19" t="n">
        <f aca="false">MONTH(A610)</f>
        <v>9</v>
      </c>
      <c r="P610" s="19" t="n">
        <f aca="false">INT((A610-DATE(2026,7,1))/7)+1</f>
        <v>10</v>
      </c>
    </row>
    <row r="611" customFormat="false" ht="15" hidden="false" customHeight="false" outlineLevel="0" collapsed="false">
      <c r="A611" s="25" t="n">
        <v>46271</v>
      </c>
      <c r="B611" s="26" t="s">
        <v>18</v>
      </c>
      <c r="C611" s="26" t="s">
        <v>72</v>
      </c>
      <c r="D611" s="26" t="n">
        <v>480</v>
      </c>
      <c r="E611" s="26" t="n">
        <v>8</v>
      </c>
      <c r="F611" s="26" t="n">
        <v>2313</v>
      </c>
      <c r="G611" s="26" t="n">
        <v>2255</v>
      </c>
      <c r="H611" s="19" t="n">
        <f aca="false">SUMIFS(Paradas!$E$2:$E$1973,Paradas!$A$2:$A$1973,A611,Paradas!$B$2:$B$1973,B611,Paradas!$C$2:$C$1973,C611)</f>
        <v>134</v>
      </c>
      <c r="I611" s="19" t="n">
        <f aca="false">D611-H611</f>
        <v>346</v>
      </c>
      <c r="J611" s="19" t="n">
        <f aca="false">I611*E611</f>
        <v>2768</v>
      </c>
      <c r="K611" s="16" t="n">
        <f aca="false">IF(D611=0,0,I611/D611)</f>
        <v>0.720833333333333</v>
      </c>
      <c r="L611" s="16" t="n">
        <f aca="false">IF(J611=0,0,F611/J611)</f>
        <v>0.835621387283237</v>
      </c>
      <c r="M611" s="16" t="n">
        <f aca="false">IF(F611=0,0,G611/F611)</f>
        <v>0.974924340683096</v>
      </c>
      <c r="N611" s="16" t="n">
        <f aca="false">K611*L611*M611</f>
        <v>0.587239583333333</v>
      </c>
      <c r="O611" s="19" t="n">
        <f aca="false">MONTH(A611)</f>
        <v>9</v>
      </c>
      <c r="P611" s="19" t="n">
        <f aca="false">INT((A611-DATE(2026,7,1))/7)+1</f>
        <v>10</v>
      </c>
    </row>
    <row r="612" customFormat="false" ht="15" hidden="false" customHeight="false" outlineLevel="0" collapsed="false">
      <c r="A612" s="25" t="n">
        <v>46271</v>
      </c>
      <c r="B612" s="26" t="s">
        <v>18</v>
      </c>
      <c r="C612" s="26" t="s">
        <v>73</v>
      </c>
      <c r="D612" s="26" t="n">
        <v>480</v>
      </c>
      <c r="E612" s="26" t="n">
        <v>8</v>
      </c>
      <c r="F612" s="26" t="n">
        <v>2921</v>
      </c>
      <c r="G612" s="26" t="n">
        <v>2841</v>
      </c>
      <c r="H612" s="19" t="n">
        <f aca="false">SUMIFS(Paradas!$E$2:$E$1973,Paradas!$A$2:$A$1973,A612,Paradas!$B$2:$B$1973,B612,Paradas!$C$2:$C$1973,C612)</f>
        <v>81</v>
      </c>
      <c r="I612" s="19" t="n">
        <f aca="false">D612-H612</f>
        <v>399</v>
      </c>
      <c r="J612" s="19" t="n">
        <f aca="false">I612*E612</f>
        <v>3192</v>
      </c>
      <c r="K612" s="16" t="n">
        <f aca="false">IF(D612=0,0,I612/D612)</f>
        <v>0.83125</v>
      </c>
      <c r="L612" s="16" t="n">
        <f aca="false">IF(J612=0,0,F612/J612)</f>
        <v>0.915100250626566</v>
      </c>
      <c r="M612" s="16" t="n">
        <f aca="false">IF(F612=0,0,G612/F612)</f>
        <v>0.972612119137282</v>
      </c>
      <c r="N612" s="16" t="n">
        <f aca="false">K612*L612*M612</f>
        <v>0.73984375</v>
      </c>
      <c r="O612" s="19" t="n">
        <f aca="false">MONTH(A612)</f>
        <v>9</v>
      </c>
      <c r="P612" s="19" t="n">
        <f aca="false">INT((A612-DATE(2026,7,1))/7)+1</f>
        <v>10</v>
      </c>
    </row>
    <row r="613" customFormat="false" ht="15" hidden="false" customHeight="false" outlineLevel="0" collapsed="false">
      <c r="A613" s="25" t="n">
        <v>46271</v>
      </c>
      <c r="B613" s="26" t="s">
        <v>18</v>
      </c>
      <c r="C613" s="26" t="s">
        <v>74</v>
      </c>
      <c r="D613" s="26" t="n">
        <v>480</v>
      </c>
      <c r="E613" s="26" t="n">
        <v>8</v>
      </c>
      <c r="F613" s="26" t="n">
        <v>2367</v>
      </c>
      <c r="G613" s="26" t="n">
        <v>2259</v>
      </c>
      <c r="H613" s="19" t="n">
        <f aca="false">SUMIFS(Paradas!$E$2:$E$1973,Paradas!$A$2:$A$1973,A613,Paradas!$B$2:$B$1973,B613,Paradas!$C$2:$C$1973,C613)</f>
        <v>108</v>
      </c>
      <c r="I613" s="19" t="n">
        <f aca="false">D613-H613</f>
        <v>372</v>
      </c>
      <c r="J613" s="19" t="n">
        <f aca="false">I613*E613</f>
        <v>2976</v>
      </c>
      <c r="K613" s="16" t="n">
        <f aca="false">IF(D613=0,0,I613/D613)</f>
        <v>0.775</v>
      </c>
      <c r="L613" s="16" t="n">
        <f aca="false">IF(J613=0,0,F613/J613)</f>
        <v>0.795362903225807</v>
      </c>
      <c r="M613" s="16" t="n">
        <f aca="false">IF(F613=0,0,G613/F613)</f>
        <v>0.954372623574145</v>
      </c>
      <c r="N613" s="16" t="n">
        <f aca="false">K613*L613*M613</f>
        <v>0.58828125</v>
      </c>
      <c r="O613" s="19" t="n">
        <f aca="false">MONTH(A613)</f>
        <v>9</v>
      </c>
      <c r="P613" s="19" t="n">
        <f aca="false">INT((A613-DATE(2026,7,1))/7)+1</f>
        <v>10</v>
      </c>
    </row>
    <row r="614" customFormat="false" ht="15" hidden="false" customHeight="false" outlineLevel="0" collapsed="false">
      <c r="A614" s="25" t="n">
        <v>46272</v>
      </c>
      <c r="B614" s="26" t="s">
        <v>16</v>
      </c>
      <c r="C614" s="26" t="s">
        <v>72</v>
      </c>
      <c r="D614" s="26" t="n">
        <v>480</v>
      </c>
      <c r="E614" s="26" t="n">
        <v>12</v>
      </c>
      <c r="F614" s="26" t="n">
        <v>4508</v>
      </c>
      <c r="G614" s="26" t="n">
        <v>4402</v>
      </c>
      <c r="H614" s="19" t="n">
        <f aca="false">SUMIFS(Paradas!$E$2:$E$1973,Paradas!$A$2:$A$1973,A614,Paradas!$B$2:$B$1973,B614,Paradas!$C$2:$C$1973,C614)</f>
        <v>40</v>
      </c>
      <c r="I614" s="19" t="n">
        <f aca="false">D614-H614</f>
        <v>440</v>
      </c>
      <c r="J614" s="19" t="n">
        <f aca="false">I614*E614</f>
        <v>5280</v>
      </c>
      <c r="K614" s="16" t="n">
        <f aca="false">IF(D614=0,0,I614/D614)</f>
        <v>0.916666666666667</v>
      </c>
      <c r="L614" s="16" t="n">
        <f aca="false">IF(J614=0,0,F614/J614)</f>
        <v>0.853787878787879</v>
      </c>
      <c r="M614" s="16" t="n">
        <f aca="false">IF(F614=0,0,G614/F614)</f>
        <v>0.976486246672582</v>
      </c>
      <c r="N614" s="16" t="n">
        <f aca="false">K614*L614*M614</f>
        <v>0.764236111111111</v>
      </c>
      <c r="O614" s="19" t="n">
        <f aca="false">MONTH(A614)</f>
        <v>9</v>
      </c>
      <c r="P614" s="19" t="n">
        <f aca="false">INT((A614-DATE(2026,7,1))/7)+1</f>
        <v>10</v>
      </c>
    </row>
    <row r="615" customFormat="false" ht="15" hidden="false" customHeight="false" outlineLevel="0" collapsed="false">
      <c r="A615" s="25" t="n">
        <v>46272</v>
      </c>
      <c r="B615" s="26" t="s">
        <v>16</v>
      </c>
      <c r="C615" s="26" t="s">
        <v>73</v>
      </c>
      <c r="D615" s="26" t="n">
        <v>480</v>
      </c>
      <c r="E615" s="26" t="n">
        <v>12</v>
      </c>
      <c r="F615" s="26" t="n">
        <v>3658</v>
      </c>
      <c r="G615" s="26" t="n">
        <v>3559</v>
      </c>
      <c r="H615" s="19" t="n">
        <f aca="false">SUMIFS(Paradas!$E$2:$E$1973,Paradas!$A$2:$A$1973,A615,Paradas!$B$2:$B$1973,B615,Paradas!$C$2:$C$1973,C615)</f>
        <v>137</v>
      </c>
      <c r="I615" s="19" t="n">
        <f aca="false">D615-H615</f>
        <v>343</v>
      </c>
      <c r="J615" s="19" t="n">
        <f aca="false">I615*E615</f>
        <v>4116</v>
      </c>
      <c r="K615" s="16" t="n">
        <f aca="false">IF(D615=0,0,I615/D615)</f>
        <v>0.714583333333333</v>
      </c>
      <c r="L615" s="16" t="n">
        <f aca="false">IF(J615=0,0,F615/J615)</f>
        <v>0.888726919339164</v>
      </c>
      <c r="M615" s="16" t="n">
        <f aca="false">IF(F615=0,0,G615/F615)</f>
        <v>0.972936030617824</v>
      </c>
      <c r="N615" s="16" t="n">
        <f aca="false">K615*L615*M615</f>
        <v>0.617881944444444</v>
      </c>
      <c r="O615" s="19" t="n">
        <f aca="false">MONTH(A615)</f>
        <v>9</v>
      </c>
      <c r="P615" s="19" t="n">
        <f aca="false">INT((A615-DATE(2026,7,1))/7)+1</f>
        <v>10</v>
      </c>
    </row>
    <row r="616" customFormat="false" ht="15" hidden="false" customHeight="false" outlineLevel="0" collapsed="false">
      <c r="A616" s="25" t="n">
        <v>46272</v>
      </c>
      <c r="B616" s="26" t="s">
        <v>16</v>
      </c>
      <c r="C616" s="26" t="s">
        <v>74</v>
      </c>
      <c r="D616" s="26" t="n">
        <v>480</v>
      </c>
      <c r="E616" s="26" t="n">
        <v>12</v>
      </c>
      <c r="F616" s="26" t="n">
        <v>4799</v>
      </c>
      <c r="G616" s="26" t="n">
        <v>4615</v>
      </c>
      <c r="H616" s="19" t="n">
        <f aca="false">SUMIFS(Paradas!$E$2:$E$1973,Paradas!$A$2:$A$1973,A616,Paradas!$B$2:$B$1973,B616,Paradas!$C$2:$C$1973,C616)</f>
        <v>16</v>
      </c>
      <c r="I616" s="19" t="n">
        <f aca="false">D616-H616</f>
        <v>464</v>
      </c>
      <c r="J616" s="19" t="n">
        <f aca="false">I616*E616</f>
        <v>5568</v>
      </c>
      <c r="K616" s="16" t="n">
        <f aca="false">IF(D616=0,0,I616/D616)</f>
        <v>0.966666666666667</v>
      </c>
      <c r="L616" s="16" t="n">
        <f aca="false">IF(J616=0,0,F616/J616)</f>
        <v>0.861889367816092</v>
      </c>
      <c r="M616" s="16" t="n">
        <f aca="false">IF(F616=0,0,G616/F616)</f>
        <v>0.961658678891436</v>
      </c>
      <c r="N616" s="16" t="n">
        <f aca="false">K616*L616*M616</f>
        <v>0.801215277777778</v>
      </c>
      <c r="O616" s="19" t="n">
        <f aca="false">MONTH(A616)</f>
        <v>9</v>
      </c>
      <c r="P616" s="19" t="n">
        <f aca="false">INT((A616-DATE(2026,7,1))/7)+1</f>
        <v>10</v>
      </c>
    </row>
    <row r="617" customFormat="false" ht="15" hidden="false" customHeight="false" outlineLevel="0" collapsed="false">
      <c r="A617" s="25" t="n">
        <v>46272</v>
      </c>
      <c r="B617" s="26" t="s">
        <v>17</v>
      </c>
      <c r="C617" s="26" t="s">
        <v>72</v>
      </c>
      <c r="D617" s="26" t="n">
        <v>480</v>
      </c>
      <c r="E617" s="26" t="n">
        <v>10</v>
      </c>
      <c r="F617" s="26" t="n">
        <v>3154</v>
      </c>
      <c r="G617" s="26" t="n">
        <v>2935</v>
      </c>
      <c r="H617" s="19" t="n">
        <f aca="false">SUMIFS(Paradas!$E$2:$E$1973,Paradas!$A$2:$A$1973,A617,Paradas!$B$2:$B$1973,B617,Paradas!$C$2:$C$1973,C617)</f>
        <v>145</v>
      </c>
      <c r="I617" s="19" t="n">
        <f aca="false">D617-H617</f>
        <v>335</v>
      </c>
      <c r="J617" s="19" t="n">
        <f aca="false">I617*E617</f>
        <v>3350</v>
      </c>
      <c r="K617" s="16" t="n">
        <f aca="false">IF(D617=0,0,I617/D617)</f>
        <v>0.697916666666667</v>
      </c>
      <c r="L617" s="16" t="n">
        <f aca="false">IF(J617=0,0,F617/J617)</f>
        <v>0.941492537313433</v>
      </c>
      <c r="M617" s="16" t="n">
        <f aca="false">IF(F617=0,0,G617/F617)</f>
        <v>0.930564362714014</v>
      </c>
      <c r="N617" s="16" t="n">
        <f aca="false">K617*L617*M617</f>
        <v>0.611458333333333</v>
      </c>
      <c r="O617" s="19" t="n">
        <f aca="false">MONTH(A617)</f>
        <v>9</v>
      </c>
      <c r="P617" s="19" t="n">
        <f aca="false">INT((A617-DATE(2026,7,1))/7)+1</f>
        <v>10</v>
      </c>
    </row>
    <row r="618" customFormat="false" ht="15" hidden="false" customHeight="false" outlineLevel="0" collapsed="false">
      <c r="A618" s="25" t="n">
        <v>46272</v>
      </c>
      <c r="B618" s="26" t="s">
        <v>17</v>
      </c>
      <c r="C618" s="26" t="s">
        <v>73</v>
      </c>
      <c r="D618" s="26" t="n">
        <v>480</v>
      </c>
      <c r="E618" s="26" t="n">
        <v>10</v>
      </c>
      <c r="F618" s="26" t="n">
        <v>4291</v>
      </c>
      <c r="G618" s="26" t="n">
        <v>4050</v>
      </c>
      <c r="H618" s="19" t="n">
        <f aca="false">SUMIFS(Paradas!$E$2:$E$1973,Paradas!$A$2:$A$1973,A618,Paradas!$B$2:$B$1973,B618,Paradas!$C$2:$C$1973,C618)</f>
        <v>18</v>
      </c>
      <c r="I618" s="19" t="n">
        <f aca="false">D618-H618</f>
        <v>462</v>
      </c>
      <c r="J618" s="19" t="n">
        <f aca="false">I618*E618</f>
        <v>4620</v>
      </c>
      <c r="K618" s="16" t="n">
        <f aca="false">IF(D618=0,0,I618/D618)</f>
        <v>0.9625</v>
      </c>
      <c r="L618" s="16" t="n">
        <f aca="false">IF(J618=0,0,F618/J618)</f>
        <v>0.928787878787879</v>
      </c>
      <c r="M618" s="16" t="n">
        <f aca="false">IF(F618=0,0,G618/F618)</f>
        <v>0.943835935679329</v>
      </c>
      <c r="N618" s="16" t="n">
        <f aca="false">K618*L618*M618</f>
        <v>0.84375</v>
      </c>
      <c r="O618" s="19" t="n">
        <f aca="false">MONTH(A618)</f>
        <v>9</v>
      </c>
      <c r="P618" s="19" t="n">
        <f aca="false">INT((A618-DATE(2026,7,1))/7)+1</f>
        <v>10</v>
      </c>
    </row>
    <row r="619" customFormat="false" ht="15" hidden="false" customHeight="false" outlineLevel="0" collapsed="false">
      <c r="A619" s="25" t="n">
        <v>46272</v>
      </c>
      <c r="B619" s="26" t="s">
        <v>17</v>
      </c>
      <c r="C619" s="26" t="s">
        <v>74</v>
      </c>
      <c r="D619" s="26" t="n">
        <v>480</v>
      </c>
      <c r="E619" s="26" t="n">
        <v>10</v>
      </c>
      <c r="F619" s="26" t="n">
        <v>3501</v>
      </c>
      <c r="G619" s="26" t="n">
        <v>3344</v>
      </c>
      <c r="H619" s="19" t="n">
        <f aca="false">SUMIFS(Paradas!$E$2:$E$1973,Paradas!$A$2:$A$1973,A619,Paradas!$B$2:$B$1973,B619,Paradas!$C$2:$C$1973,C619)</f>
        <v>78</v>
      </c>
      <c r="I619" s="19" t="n">
        <f aca="false">D619-H619</f>
        <v>402</v>
      </c>
      <c r="J619" s="19" t="n">
        <f aca="false">I619*E619</f>
        <v>4020</v>
      </c>
      <c r="K619" s="16" t="n">
        <f aca="false">IF(D619=0,0,I619/D619)</f>
        <v>0.8375</v>
      </c>
      <c r="L619" s="16" t="n">
        <f aca="false">IF(J619=0,0,F619/J619)</f>
        <v>0.87089552238806</v>
      </c>
      <c r="M619" s="16" t="n">
        <f aca="false">IF(F619=0,0,G619/F619)</f>
        <v>0.955155669808626</v>
      </c>
      <c r="N619" s="16" t="n">
        <f aca="false">K619*L619*M619</f>
        <v>0.696666666666667</v>
      </c>
      <c r="O619" s="19" t="n">
        <f aca="false">MONTH(A619)</f>
        <v>9</v>
      </c>
      <c r="P619" s="19" t="n">
        <f aca="false">INT((A619-DATE(2026,7,1))/7)+1</f>
        <v>10</v>
      </c>
    </row>
    <row r="620" customFormat="false" ht="15" hidden="false" customHeight="false" outlineLevel="0" collapsed="false">
      <c r="A620" s="25" t="n">
        <v>46272</v>
      </c>
      <c r="B620" s="26" t="s">
        <v>18</v>
      </c>
      <c r="C620" s="26" t="s">
        <v>72</v>
      </c>
      <c r="D620" s="26" t="n">
        <v>480</v>
      </c>
      <c r="E620" s="26" t="n">
        <v>8</v>
      </c>
      <c r="F620" s="26" t="n">
        <v>2036</v>
      </c>
      <c r="G620" s="26" t="n">
        <v>1959</v>
      </c>
      <c r="H620" s="19" t="n">
        <f aca="false">SUMIFS(Paradas!$E$2:$E$1973,Paradas!$A$2:$A$1973,A620,Paradas!$B$2:$B$1973,B620,Paradas!$C$2:$C$1973,C620)</f>
        <v>186</v>
      </c>
      <c r="I620" s="19" t="n">
        <f aca="false">D620-H620</f>
        <v>294</v>
      </c>
      <c r="J620" s="19" t="n">
        <f aca="false">I620*E620</f>
        <v>2352</v>
      </c>
      <c r="K620" s="16" t="n">
        <f aca="false">IF(D620=0,0,I620/D620)</f>
        <v>0.6125</v>
      </c>
      <c r="L620" s="16" t="n">
        <f aca="false">IF(J620=0,0,F620/J620)</f>
        <v>0.865646258503401</v>
      </c>
      <c r="M620" s="16" t="n">
        <f aca="false">IF(F620=0,0,G620/F620)</f>
        <v>0.962180746561886</v>
      </c>
      <c r="N620" s="16" t="n">
        <f aca="false">K620*L620*M620</f>
        <v>0.51015625</v>
      </c>
      <c r="O620" s="19" t="n">
        <f aca="false">MONTH(A620)</f>
        <v>9</v>
      </c>
      <c r="P620" s="19" t="n">
        <f aca="false">INT((A620-DATE(2026,7,1))/7)+1</f>
        <v>10</v>
      </c>
    </row>
    <row r="621" customFormat="false" ht="15" hidden="false" customHeight="false" outlineLevel="0" collapsed="false">
      <c r="A621" s="25" t="n">
        <v>46272</v>
      </c>
      <c r="B621" s="26" t="s">
        <v>18</v>
      </c>
      <c r="C621" s="26" t="s">
        <v>73</v>
      </c>
      <c r="D621" s="26" t="n">
        <v>480</v>
      </c>
      <c r="E621" s="26" t="n">
        <v>8</v>
      </c>
      <c r="F621" s="26" t="n">
        <v>2874</v>
      </c>
      <c r="G621" s="26" t="n">
        <v>2833</v>
      </c>
      <c r="H621" s="19" t="n">
        <f aca="false">SUMIFS(Paradas!$E$2:$E$1973,Paradas!$A$2:$A$1973,A621,Paradas!$B$2:$B$1973,B621,Paradas!$C$2:$C$1973,C621)</f>
        <v>77</v>
      </c>
      <c r="I621" s="19" t="n">
        <f aca="false">D621-H621</f>
        <v>403</v>
      </c>
      <c r="J621" s="19" t="n">
        <f aca="false">I621*E621</f>
        <v>3224</v>
      </c>
      <c r="K621" s="16" t="n">
        <f aca="false">IF(D621=0,0,I621/D621)</f>
        <v>0.839583333333333</v>
      </c>
      <c r="L621" s="16" t="n">
        <f aca="false">IF(J621=0,0,F621/J621)</f>
        <v>0.891439205955335</v>
      </c>
      <c r="M621" s="16" t="n">
        <f aca="false">IF(F621=0,0,G621/F621)</f>
        <v>0.985734168406402</v>
      </c>
      <c r="N621" s="16" t="n">
        <f aca="false">K621*L621*M621</f>
        <v>0.737760416666667</v>
      </c>
      <c r="O621" s="19" t="n">
        <f aca="false">MONTH(A621)</f>
        <v>9</v>
      </c>
      <c r="P621" s="19" t="n">
        <f aca="false">INT((A621-DATE(2026,7,1))/7)+1</f>
        <v>10</v>
      </c>
    </row>
    <row r="622" customFormat="false" ht="15" hidden="false" customHeight="false" outlineLevel="0" collapsed="false">
      <c r="A622" s="25" t="n">
        <v>46272</v>
      </c>
      <c r="B622" s="26" t="s">
        <v>18</v>
      </c>
      <c r="C622" s="26" t="s">
        <v>74</v>
      </c>
      <c r="D622" s="26" t="n">
        <v>480</v>
      </c>
      <c r="E622" s="26" t="n">
        <v>8</v>
      </c>
      <c r="F622" s="26" t="n">
        <v>2860</v>
      </c>
      <c r="G622" s="26" t="n">
        <v>2778</v>
      </c>
      <c r="H622" s="19" t="n">
        <f aca="false">SUMIFS(Paradas!$E$2:$E$1973,Paradas!$A$2:$A$1973,A622,Paradas!$B$2:$B$1973,B622,Paradas!$C$2:$C$1973,C622)</f>
        <v>52</v>
      </c>
      <c r="I622" s="19" t="n">
        <f aca="false">D622-H622</f>
        <v>428</v>
      </c>
      <c r="J622" s="19" t="n">
        <f aca="false">I622*E622</f>
        <v>3424</v>
      </c>
      <c r="K622" s="16" t="n">
        <f aca="false">IF(D622=0,0,I622/D622)</f>
        <v>0.891666666666667</v>
      </c>
      <c r="L622" s="16" t="n">
        <f aca="false">IF(J622=0,0,F622/J622)</f>
        <v>0.835280373831776</v>
      </c>
      <c r="M622" s="16" t="n">
        <f aca="false">IF(F622=0,0,G622/F622)</f>
        <v>0.971328671328671</v>
      </c>
      <c r="N622" s="16" t="n">
        <f aca="false">K622*L622*M622</f>
        <v>0.7234375</v>
      </c>
      <c r="O622" s="19" t="n">
        <f aca="false">MONTH(A622)</f>
        <v>9</v>
      </c>
      <c r="P622" s="19" t="n">
        <f aca="false">INT((A622-DATE(2026,7,1))/7)+1</f>
        <v>10</v>
      </c>
    </row>
    <row r="623" customFormat="false" ht="15" hidden="false" customHeight="false" outlineLevel="0" collapsed="false">
      <c r="A623" s="25" t="n">
        <v>46273</v>
      </c>
      <c r="B623" s="26" t="s">
        <v>16</v>
      </c>
      <c r="C623" s="26" t="s">
        <v>72</v>
      </c>
      <c r="D623" s="26" t="n">
        <v>480</v>
      </c>
      <c r="E623" s="26" t="n">
        <v>12</v>
      </c>
      <c r="F623" s="26" t="n">
        <v>4513</v>
      </c>
      <c r="G623" s="26" t="n">
        <v>4344</v>
      </c>
      <c r="H623" s="19" t="n">
        <f aca="false">SUMIFS(Paradas!$E$2:$E$1973,Paradas!$A$2:$A$1973,A623,Paradas!$B$2:$B$1973,B623,Paradas!$C$2:$C$1973,C623)</f>
        <v>62</v>
      </c>
      <c r="I623" s="19" t="n">
        <f aca="false">D623-H623</f>
        <v>418</v>
      </c>
      <c r="J623" s="19" t="n">
        <f aca="false">I623*E623</f>
        <v>5016</v>
      </c>
      <c r="K623" s="16" t="n">
        <f aca="false">IF(D623=0,0,I623/D623)</f>
        <v>0.870833333333333</v>
      </c>
      <c r="L623" s="16" t="n">
        <f aca="false">IF(J623=0,0,F623/J623)</f>
        <v>0.899720893141946</v>
      </c>
      <c r="M623" s="16" t="n">
        <f aca="false">IF(F623=0,0,G623/F623)</f>
        <v>0.96255262574784</v>
      </c>
      <c r="N623" s="16" t="n">
        <f aca="false">K623*L623*M623</f>
        <v>0.754166666666667</v>
      </c>
      <c r="O623" s="19" t="n">
        <f aca="false">MONTH(A623)</f>
        <v>9</v>
      </c>
      <c r="P623" s="19" t="n">
        <f aca="false">INT((A623-DATE(2026,7,1))/7)+1</f>
        <v>10</v>
      </c>
    </row>
    <row r="624" customFormat="false" ht="15" hidden="false" customHeight="false" outlineLevel="0" collapsed="false">
      <c r="A624" s="25" t="n">
        <v>46273</v>
      </c>
      <c r="B624" s="26" t="s">
        <v>16</v>
      </c>
      <c r="C624" s="26" t="s">
        <v>73</v>
      </c>
      <c r="D624" s="26" t="n">
        <v>480</v>
      </c>
      <c r="E624" s="26" t="n">
        <v>12</v>
      </c>
      <c r="F624" s="26" t="n">
        <v>3723</v>
      </c>
      <c r="G624" s="26" t="n">
        <v>3577</v>
      </c>
      <c r="H624" s="19" t="n">
        <f aca="false">SUMIFS(Paradas!$E$2:$E$1973,Paradas!$A$2:$A$1973,A624,Paradas!$B$2:$B$1973,B624,Paradas!$C$2:$C$1973,C624)</f>
        <v>115</v>
      </c>
      <c r="I624" s="19" t="n">
        <f aca="false">D624-H624</f>
        <v>365</v>
      </c>
      <c r="J624" s="19" t="n">
        <f aca="false">I624*E624</f>
        <v>4380</v>
      </c>
      <c r="K624" s="16" t="n">
        <f aca="false">IF(D624=0,0,I624/D624)</f>
        <v>0.760416666666667</v>
      </c>
      <c r="L624" s="16" t="n">
        <f aca="false">IF(J624=0,0,F624/J624)</f>
        <v>0.85</v>
      </c>
      <c r="M624" s="16" t="n">
        <f aca="false">IF(F624=0,0,G624/F624)</f>
        <v>0.96078431372549</v>
      </c>
      <c r="N624" s="16" t="n">
        <f aca="false">K624*L624*M624</f>
        <v>0.621006944444444</v>
      </c>
      <c r="O624" s="19" t="n">
        <f aca="false">MONTH(A624)</f>
        <v>9</v>
      </c>
      <c r="P624" s="19" t="n">
        <f aca="false">INT((A624-DATE(2026,7,1))/7)+1</f>
        <v>10</v>
      </c>
    </row>
    <row r="625" customFormat="false" ht="15" hidden="false" customHeight="false" outlineLevel="0" collapsed="false">
      <c r="A625" s="25" t="n">
        <v>46273</v>
      </c>
      <c r="B625" s="26" t="s">
        <v>16</v>
      </c>
      <c r="C625" s="26" t="s">
        <v>74</v>
      </c>
      <c r="D625" s="26" t="n">
        <v>480</v>
      </c>
      <c r="E625" s="26" t="n">
        <v>12</v>
      </c>
      <c r="F625" s="26" t="n">
        <v>4131</v>
      </c>
      <c r="G625" s="26" t="n">
        <v>3997</v>
      </c>
      <c r="H625" s="19" t="n">
        <f aca="false">SUMIFS(Paradas!$E$2:$E$1973,Paradas!$A$2:$A$1973,A625,Paradas!$B$2:$B$1973,B625,Paradas!$C$2:$C$1973,C625)</f>
        <v>63</v>
      </c>
      <c r="I625" s="19" t="n">
        <f aca="false">D625-H625</f>
        <v>417</v>
      </c>
      <c r="J625" s="19" t="n">
        <f aca="false">I625*E625</f>
        <v>5004</v>
      </c>
      <c r="K625" s="16" t="n">
        <f aca="false">IF(D625=0,0,I625/D625)</f>
        <v>0.86875</v>
      </c>
      <c r="L625" s="16" t="n">
        <f aca="false">IF(J625=0,0,F625/J625)</f>
        <v>0.825539568345324</v>
      </c>
      <c r="M625" s="16" t="n">
        <f aca="false">IF(F625=0,0,G625/F625)</f>
        <v>0.967562333575405</v>
      </c>
      <c r="N625" s="16" t="n">
        <f aca="false">K625*L625*M625</f>
        <v>0.693923611111111</v>
      </c>
      <c r="O625" s="19" t="n">
        <f aca="false">MONTH(A625)</f>
        <v>9</v>
      </c>
      <c r="P625" s="19" t="n">
        <f aca="false">INT((A625-DATE(2026,7,1))/7)+1</f>
        <v>10</v>
      </c>
    </row>
    <row r="626" customFormat="false" ht="15" hidden="false" customHeight="false" outlineLevel="0" collapsed="false">
      <c r="A626" s="25" t="n">
        <v>46273</v>
      </c>
      <c r="B626" s="26" t="s">
        <v>17</v>
      </c>
      <c r="C626" s="26" t="s">
        <v>72</v>
      </c>
      <c r="D626" s="26" t="n">
        <v>480</v>
      </c>
      <c r="E626" s="26" t="n">
        <v>10</v>
      </c>
      <c r="F626" s="26" t="n">
        <v>3224</v>
      </c>
      <c r="G626" s="26" t="n">
        <v>3088</v>
      </c>
      <c r="H626" s="19" t="n">
        <f aca="false">SUMIFS(Paradas!$E$2:$E$1973,Paradas!$A$2:$A$1973,A626,Paradas!$B$2:$B$1973,B626,Paradas!$C$2:$C$1973,C626)</f>
        <v>106</v>
      </c>
      <c r="I626" s="19" t="n">
        <f aca="false">D626-H626</f>
        <v>374</v>
      </c>
      <c r="J626" s="19" t="n">
        <f aca="false">I626*E626</f>
        <v>3740</v>
      </c>
      <c r="K626" s="16" t="n">
        <f aca="false">IF(D626=0,0,I626/D626)</f>
        <v>0.779166666666667</v>
      </c>
      <c r="L626" s="16" t="n">
        <f aca="false">IF(J626=0,0,F626/J626)</f>
        <v>0.862032085561497</v>
      </c>
      <c r="M626" s="16" t="n">
        <f aca="false">IF(F626=0,0,G626/F626)</f>
        <v>0.957816377171216</v>
      </c>
      <c r="N626" s="16" t="n">
        <f aca="false">K626*L626*M626</f>
        <v>0.643333333333333</v>
      </c>
      <c r="O626" s="19" t="n">
        <f aca="false">MONTH(A626)</f>
        <v>9</v>
      </c>
      <c r="P626" s="19" t="n">
        <f aca="false">INT((A626-DATE(2026,7,1))/7)+1</f>
        <v>10</v>
      </c>
    </row>
    <row r="627" customFormat="false" ht="15" hidden="false" customHeight="false" outlineLevel="0" collapsed="false">
      <c r="A627" s="25" t="n">
        <v>46273</v>
      </c>
      <c r="B627" s="26" t="s">
        <v>17</v>
      </c>
      <c r="C627" s="26" t="s">
        <v>73</v>
      </c>
      <c r="D627" s="26" t="n">
        <v>480</v>
      </c>
      <c r="E627" s="26" t="n">
        <v>10</v>
      </c>
      <c r="F627" s="26" t="n">
        <v>3141</v>
      </c>
      <c r="G627" s="26" t="n">
        <v>3028</v>
      </c>
      <c r="H627" s="19" t="n">
        <f aca="false">SUMIFS(Paradas!$E$2:$E$1973,Paradas!$A$2:$A$1973,A627,Paradas!$B$2:$B$1973,B627,Paradas!$C$2:$C$1973,C627)</f>
        <v>135</v>
      </c>
      <c r="I627" s="19" t="n">
        <f aca="false">D627-H627</f>
        <v>345</v>
      </c>
      <c r="J627" s="19" t="n">
        <f aca="false">I627*E627</f>
        <v>3450</v>
      </c>
      <c r="K627" s="16" t="n">
        <f aca="false">IF(D627=0,0,I627/D627)</f>
        <v>0.71875</v>
      </c>
      <c r="L627" s="16" t="n">
        <f aca="false">IF(J627=0,0,F627/J627)</f>
        <v>0.910434782608696</v>
      </c>
      <c r="M627" s="16" t="n">
        <f aca="false">IF(F627=0,0,G627/F627)</f>
        <v>0.964024196115887</v>
      </c>
      <c r="N627" s="16" t="n">
        <f aca="false">K627*L627*M627</f>
        <v>0.630833333333333</v>
      </c>
      <c r="O627" s="19" t="n">
        <f aca="false">MONTH(A627)</f>
        <v>9</v>
      </c>
      <c r="P627" s="19" t="n">
        <f aca="false">INT((A627-DATE(2026,7,1))/7)+1</f>
        <v>10</v>
      </c>
    </row>
    <row r="628" customFormat="false" ht="15" hidden="false" customHeight="false" outlineLevel="0" collapsed="false">
      <c r="A628" s="25" t="n">
        <v>46273</v>
      </c>
      <c r="B628" s="26" t="s">
        <v>17</v>
      </c>
      <c r="C628" s="26" t="s">
        <v>74</v>
      </c>
      <c r="D628" s="26" t="n">
        <v>480</v>
      </c>
      <c r="E628" s="26" t="n">
        <v>10</v>
      </c>
      <c r="F628" s="26" t="n">
        <v>3706</v>
      </c>
      <c r="G628" s="26" t="n">
        <v>3499</v>
      </c>
      <c r="H628" s="19" t="n">
        <f aca="false">SUMIFS(Paradas!$E$2:$E$1973,Paradas!$A$2:$A$1973,A628,Paradas!$B$2:$B$1973,B628,Paradas!$C$2:$C$1973,C628)</f>
        <v>35</v>
      </c>
      <c r="I628" s="19" t="n">
        <f aca="false">D628-H628</f>
        <v>445</v>
      </c>
      <c r="J628" s="19" t="n">
        <f aca="false">I628*E628</f>
        <v>4450</v>
      </c>
      <c r="K628" s="16" t="n">
        <f aca="false">IF(D628=0,0,I628/D628)</f>
        <v>0.927083333333333</v>
      </c>
      <c r="L628" s="16" t="n">
        <f aca="false">IF(J628=0,0,F628/J628)</f>
        <v>0.832808988764045</v>
      </c>
      <c r="M628" s="16" t="n">
        <f aca="false">IF(F628=0,0,G628/F628)</f>
        <v>0.944144630329196</v>
      </c>
      <c r="N628" s="16" t="n">
        <f aca="false">K628*L628*M628</f>
        <v>0.728958333333333</v>
      </c>
      <c r="O628" s="19" t="n">
        <f aca="false">MONTH(A628)</f>
        <v>9</v>
      </c>
      <c r="P628" s="19" t="n">
        <f aca="false">INT((A628-DATE(2026,7,1))/7)+1</f>
        <v>10</v>
      </c>
    </row>
    <row r="629" customFormat="false" ht="15" hidden="false" customHeight="false" outlineLevel="0" collapsed="false">
      <c r="A629" s="25" t="n">
        <v>46273</v>
      </c>
      <c r="B629" s="26" t="s">
        <v>18</v>
      </c>
      <c r="C629" s="26" t="s">
        <v>72</v>
      </c>
      <c r="D629" s="26" t="n">
        <v>480</v>
      </c>
      <c r="E629" s="26" t="n">
        <v>8</v>
      </c>
      <c r="F629" s="26" t="n">
        <v>2528</v>
      </c>
      <c r="G629" s="26" t="n">
        <v>2474</v>
      </c>
      <c r="H629" s="19" t="n">
        <f aca="false">SUMIFS(Paradas!$E$2:$E$1973,Paradas!$A$2:$A$1973,A629,Paradas!$B$2:$B$1973,B629,Paradas!$C$2:$C$1973,C629)</f>
        <v>148</v>
      </c>
      <c r="I629" s="19" t="n">
        <f aca="false">D629-H629</f>
        <v>332</v>
      </c>
      <c r="J629" s="19" t="n">
        <f aca="false">I629*E629</f>
        <v>2656</v>
      </c>
      <c r="K629" s="16" t="n">
        <f aca="false">IF(D629=0,0,I629/D629)</f>
        <v>0.691666666666667</v>
      </c>
      <c r="L629" s="16" t="n">
        <f aca="false">IF(J629=0,0,F629/J629)</f>
        <v>0.951807228915663</v>
      </c>
      <c r="M629" s="16" t="n">
        <f aca="false">IF(F629=0,0,G629/F629)</f>
        <v>0.978639240506329</v>
      </c>
      <c r="N629" s="16" t="n">
        <f aca="false">K629*L629*M629</f>
        <v>0.644270833333333</v>
      </c>
      <c r="O629" s="19" t="n">
        <f aca="false">MONTH(A629)</f>
        <v>9</v>
      </c>
      <c r="P629" s="19" t="n">
        <f aca="false">INT((A629-DATE(2026,7,1))/7)+1</f>
        <v>10</v>
      </c>
    </row>
    <row r="630" customFormat="false" ht="15" hidden="false" customHeight="false" outlineLevel="0" collapsed="false">
      <c r="A630" s="25" t="n">
        <v>46273</v>
      </c>
      <c r="B630" s="26" t="s">
        <v>18</v>
      </c>
      <c r="C630" s="26" t="s">
        <v>73</v>
      </c>
      <c r="D630" s="26" t="n">
        <v>480</v>
      </c>
      <c r="E630" s="26" t="n">
        <v>8</v>
      </c>
      <c r="F630" s="26" t="n">
        <v>2988</v>
      </c>
      <c r="G630" s="26" t="n">
        <v>2924</v>
      </c>
      <c r="H630" s="19" t="n">
        <f aca="false">SUMIFS(Paradas!$E$2:$E$1973,Paradas!$A$2:$A$1973,A630,Paradas!$B$2:$B$1973,B630,Paradas!$C$2:$C$1973,C630)</f>
        <v>46</v>
      </c>
      <c r="I630" s="19" t="n">
        <f aca="false">D630-H630</f>
        <v>434</v>
      </c>
      <c r="J630" s="19" t="n">
        <f aca="false">I630*E630</f>
        <v>3472</v>
      </c>
      <c r="K630" s="16" t="n">
        <f aca="false">IF(D630=0,0,I630/D630)</f>
        <v>0.904166666666667</v>
      </c>
      <c r="L630" s="16" t="n">
        <f aca="false">IF(J630=0,0,F630/J630)</f>
        <v>0.860599078341014</v>
      </c>
      <c r="M630" s="16" t="n">
        <f aca="false">IF(F630=0,0,G630/F630)</f>
        <v>0.978580990629183</v>
      </c>
      <c r="N630" s="16" t="n">
        <f aca="false">K630*L630*M630</f>
        <v>0.761458333333333</v>
      </c>
      <c r="O630" s="19" t="n">
        <f aca="false">MONTH(A630)</f>
        <v>9</v>
      </c>
      <c r="P630" s="19" t="n">
        <f aca="false">INT((A630-DATE(2026,7,1))/7)+1</f>
        <v>10</v>
      </c>
    </row>
    <row r="631" customFormat="false" ht="15" hidden="false" customHeight="false" outlineLevel="0" collapsed="false">
      <c r="A631" s="25" t="n">
        <v>46273</v>
      </c>
      <c r="B631" s="26" t="s">
        <v>18</v>
      </c>
      <c r="C631" s="26" t="s">
        <v>74</v>
      </c>
      <c r="D631" s="26" t="n">
        <v>480</v>
      </c>
      <c r="E631" s="26" t="n">
        <v>8</v>
      </c>
      <c r="F631" s="26" t="n">
        <v>2526</v>
      </c>
      <c r="G631" s="26" t="n">
        <v>2461</v>
      </c>
      <c r="H631" s="19" t="n">
        <f aca="false">SUMIFS(Paradas!$E$2:$E$1973,Paradas!$A$2:$A$1973,A631,Paradas!$B$2:$B$1973,B631,Paradas!$C$2:$C$1973,C631)</f>
        <v>125</v>
      </c>
      <c r="I631" s="19" t="n">
        <f aca="false">D631-H631</f>
        <v>355</v>
      </c>
      <c r="J631" s="19" t="n">
        <f aca="false">I631*E631</f>
        <v>2840</v>
      </c>
      <c r="K631" s="16" t="n">
        <f aca="false">IF(D631=0,0,I631/D631)</f>
        <v>0.739583333333333</v>
      </c>
      <c r="L631" s="16" t="n">
        <f aca="false">IF(J631=0,0,F631/J631)</f>
        <v>0.88943661971831</v>
      </c>
      <c r="M631" s="16" t="n">
        <f aca="false">IF(F631=0,0,G631/F631)</f>
        <v>0.974267616785432</v>
      </c>
      <c r="N631" s="16" t="n">
        <f aca="false">K631*L631*M631</f>
        <v>0.640885416666667</v>
      </c>
      <c r="O631" s="19" t="n">
        <f aca="false">MONTH(A631)</f>
        <v>9</v>
      </c>
      <c r="P631" s="19" t="n">
        <f aca="false">INT((A631-DATE(2026,7,1))/7)+1</f>
        <v>10</v>
      </c>
    </row>
    <row r="632" customFormat="false" ht="15" hidden="false" customHeight="false" outlineLevel="0" collapsed="false">
      <c r="A632" s="25" t="n">
        <v>46274</v>
      </c>
      <c r="B632" s="26" t="s">
        <v>16</v>
      </c>
      <c r="C632" s="26" t="s">
        <v>72</v>
      </c>
      <c r="D632" s="26" t="n">
        <v>480</v>
      </c>
      <c r="E632" s="26" t="n">
        <v>12</v>
      </c>
      <c r="F632" s="26" t="n">
        <v>4340</v>
      </c>
      <c r="G632" s="26" t="n">
        <v>4207</v>
      </c>
      <c r="H632" s="19" t="n">
        <f aca="false">SUMIFS(Paradas!$E$2:$E$1973,Paradas!$A$2:$A$1973,A632,Paradas!$B$2:$B$1973,B632,Paradas!$C$2:$C$1973,C632)</f>
        <v>65</v>
      </c>
      <c r="I632" s="19" t="n">
        <f aca="false">D632-H632</f>
        <v>415</v>
      </c>
      <c r="J632" s="19" t="n">
        <f aca="false">I632*E632</f>
        <v>4980</v>
      </c>
      <c r="K632" s="16" t="n">
        <f aca="false">IF(D632=0,0,I632/D632)</f>
        <v>0.864583333333333</v>
      </c>
      <c r="L632" s="16" t="n">
        <f aca="false">IF(J632=0,0,F632/J632)</f>
        <v>0.8714859437751</v>
      </c>
      <c r="M632" s="16" t="n">
        <f aca="false">IF(F632=0,0,G632/F632)</f>
        <v>0.969354838709677</v>
      </c>
      <c r="N632" s="16" t="n">
        <f aca="false">K632*L632*M632</f>
        <v>0.730381944444445</v>
      </c>
      <c r="O632" s="19" t="n">
        <f aca="false">MONTH(A632)</f>
        <v>9</v>
      </c>
      <c r="P632" s="19" t="n">
        <f aca="false">INT((A632-DATE(2026,7,1))/7)+1</f>
        <v>11</v>
      </c>
    </row>
    <row r="633" customFormat="false" ht="15" hidden="false" customHeight="false" outlineLevel="0" collapsed="false">
      <c r="A633" s="25" t="n">
        <v>46274</v>
      </c>
      <c r="B633" s="26" t="s">
        <v>16</v>
      </c>
      <c r="C633" s="26" t="s">
        <v>73</v>
      </c>
      <c r="D633" s="26" t="n">
        <v>480</v>
      </c>
      <c r="E633" s="26" t="n">
        <v>12</v>
      </c>
      <c r="F633" s="26" t="n">
        <v>3566</v>
      </c>
      <c r="G633" s="26" t="n">
        <v>3504</v>
      </c>
      <c r="H633" s="19" t="n">
        <f aca="false">SUMIFS(Paradas!$E$2:$E$1973,Paradas!$A$2:$A$1973,A633,Paradas!$B$2:$B$1973,B633,Paradas!$C$2:$C$1973,C633)</f>
        <v>149</v>
      </c>
      <c r="I633" s="19" t="n">
        <f aca="false">D633-H633</f>
        <v>331</v>
      </c>
      <c r="J633" s="19" t="n">
        <f aca="false">I633*E633</f>
        <v>3972</v>
      </c>
      <c r="K633" s="16" t="n">
        <f aca="false">IF(D633=0,0,I633/D633)</f>
        <v>0.689583333333333</v>
      </c>
      <c r="L633" s="16" t="n">
        <f aca="false">IF(J633=0,0,F633/J633)</f>
        <v>0.897784491440081</v>
      </c>
      <c r="M633" s="16" t="n">
        <f aca="false">IF(F633=0,0,G633/F633)</f>
        <v>0.982613572630398</v>
      </c>
      <c r="N633" s="16" t="n">
        <f aca="false">K633*L633*M633</f>
        <v>0.608333333333333</v>
      </c>
      <c r="O633" s="19" t="n">
        <f aca="false">MONTH(A633)</f>
        <v>9</v>
      </c>
      <c r="P633" s="19" t="n">
        <f aca="false">INT((A633-DATE(2026,7,1))/7)+1</f>
        <v>11</v>
      </c>
    </row>
    <row r="634" customFormat="false" ht="15" hidden="false" customHeight="false" outlineLevel="0" collapsed="false">
      <c r="A634" s="25" t="n">
        <v>46274</v>
      </c>
      <c r="B634" s="26" t="s">
        <v>16</v>
      </c>
      <c r="C634" s="26" t="s">
        <v>74</v>
      </c>
      <c r="D634" s="26" t="n">
        <v>480</v>
      </c>
      <c r="E634" s="26" t="n">
        <v>12</v>
      </c>
      <c r="F634" s="26" t="n">
        <v>3730</v>
      </c>
      <c r="G634" s="26" t="n">
        <v>3648</v>
      </c>
      <c r="H634" s="19" t="n">
        <f aca="false">SUMIFS(Paradas!$E$2:$E$1973,Paradas!$A$2:$A$1973,A634,Paradas!$B$2:$B$1973,B634,Paradas!$C$2:$C$1973,C634)</f>
        <v>139</v>
      </c>
      <c r="I634" s="19" t="n">
        <f aca="false">D634-H634</f>
        <v>341</v>
      </c>
      <c r="J634" s="19" t="n">
        <f aca="false">I634*E634</f>
        <v>4092</v>
      </c>
      <c r="K634" s="16" t="n">
        <f aca="false">IF(D634=0,0,I634/D634)</f>
        <v>0.710416666666667</v>
      </c>
      <c r="L634" s="16" t="n">
        <f aca="false">IF(J634=0,0,F634/J634)</f>
        <v>0.911534701857283</v>
      </c>
      <c r="M634" s="16" t="n">
        <f aca="false">IF(F634=0,0,G634/F634)</f>
        <v>0.978016085790885</v>
      </c>
      <c r="N634" s="16" t="n">
        <f aca="false">K634*L634*M634</f>
        <v>0.633333333333333</v>
      </c>
      <c r="O634" s="19" t="n">
        <f aca="false">MONTH(A634)</f>
        <v>9</v>
      </c>
      <c r="P634" s="19" t="n">
        <f aca="false">INT((A634-DATE(2026,7,1))/7)+1</f>
        <v>11</v>
      </c>
    </row>
    <row r="635" customFormat="false" ht="15" hidden="false" customHeight="false" outlineLevel="0" collapsed="false">
      <c r="A635" s="25" t="n">
        <v>46274</v>
      </c>
      <c r="B635" s="26" t="s">
        <v>17</v>
      </c>
      <c r="C635" s="26" t="s">
        <v>72</v>
      </c>
      <c r="D635" s="26" t="n">
        <v>480</v>
      </c>
      <c r="E635" s="26" t="n">
        <v>10</v>
      </c>
      <c r="F635" s="26" t="n">
        <v>2990</v>
      </c>
      <c r="G635" s="26" t="n">
        <v>2831</v>
      </c>
      <c r="H635" s="19" t="n">
        <f aca="false">SUMIFS(Paradas!$E$2:$E$1973,Paradas!$A$2:$A$1973,A635,Paradas!$B$2:$B$1973,B635,Paradas!$C$2:$C$1973,C635)</f>
        <v>137</v>
      </c>
      <c r="I635" s="19" t="n">
        <f aca="false">D635-H635</f>
        <v>343</v>
      </c>
      <c r="J635" s="19" t="n">
        <f aca="false">I635*E635</f>
        <v>3430</v>
      </c>
      <c r="K635" s="16" t="n">
        <f aca="false">IF(D635=0,0,I635/D635)</f>
        <v>0.714583333333333</v>
      </c>
      <c r="L635" s="16" t="n">
        <f aca="false">IF(J635=0,0,F635/J635)</f>
        <v>0.871720116618076</v>
      </c>
      <c r="M635" s="16" t="n">
        <f aca="false">IF(F635=0,0,G635/F635)</f>
        <v>0.946822742474916</v>
      </c>
      <c r="N635" s="16" t="n">
        <f aca="false">K635*L635*M635</f>
        <v>0.589791666666667</v>
      </c>
      <c r="O635" s="19" t="n">
        <f aca="false">MONTH(A635)</f>
        <v>9</v>
      </c>
      <c r="P635" s="19" t="n">
        <f aca="false">INT((A635-DATE(2026,7,1))/7)+1</f>
        <v>11</v>
      </c>
    </row>
    <row r="636" customFormat="false" ht="15" hidden="false" customHeight="false" outlineLevel="0" collapsed="false">
      <c r="A636" s="25" t="n">
        <v>46274</v>
      </c>
      <c r="B636" s="26" t="s">
        <v>17</v>
      </c>
      <c r="C636" s="26" t="s">
        <v>73</v>
      </c>
      <c r="D636" s="26" t="n">
        <v>480</v>
      </c>
      <c r="E636" s="26" t="n">
        <v>10</v>
      </c>
      <c r="F636" s="26" t="n">
        <v>3058</v>
      </c>
      <c r="G636" s="26" t="n">
        <v>2941</v>
      </c>
      <c r="H636" s="19" t="n">
        <f aca="false">SUMIFS(Paradas!$E$2:$E$1973,Paradas!$A$2:$A$1973,A636,Paradas!$B$2:$B$1973,B636,Paradas!$C$2:$C$1973,C636)</f>
        <v>138</v>
      </c>
      <c r="I636" s="19" t="n">
        <f aca="false">D636-H636</f>
        <v>342</v>
      </c>
      <c r="J636" s="19" t="n">
        <f aca="false">I636*E636</f>
        <v>3420</v>
      </c>
      <c r="K636" s="16" t="n">
        <f aca="false">IF(D636=0,0,I636/D636)</f>
        <v>0.7125</v>
      </c>
      <c r="L636" s="16" t="n">
        <f aca="false">IF(J636=0,0,F636/J636)</f>
        <v>0.894152046783626</v>
      </c>
      <c r="M636" s="16" t="n">
        <f aca="false">IF(F636=0,0,G636/F636)</f>
        <v>0.961739699149771</v>
      </c>
      <c r="N636" s="16" t="n">
        <f aca="false">K636*L636*M636</f>
        <v>0.612708333333333</v>
      </c>
      <c r="O636" s="19" t="n">
        <f aca="false">MONTH(A636)</f>
        <v>9</v>
      </c>
      <c r="P636" s="19" t="n">
        <f aca="false">INT((A636-DATE(2026,7,1))/7)+1</f>
        <v>11</v>
      </c>
    </row>
    <row r="637" customFormat="false" ht="15" hidden="false" customHeight="false" outlineLevel="0" collapsed="false">
      <c r="A637" s="25" t="n">
        <v>46274</v>
      </c>
      <c r="B637" s="26" t="s">
        <v>17</v>
      </c>
      <c r="C637" s="26" t="s">
        <v>74</v>
      </c>
      <c r="D637" s="26" t="n">
        <v>480</v>
      </c>
      <c r="E637" s="26" t="n">
        <v>10</v>
      </c>
      <c r="F637" s="26" t="n">
        <v>2441</v>
      </c>
      <c r="G637" s="26" t="n">
        <v>2350</v>
      </c>
      <c r="H637" s="19" t="n">
        <f aca="false">SUMIFS(Paradas!$E$2:$E$1973,Paradas!$A$2:$A$1973,A637,Paradas!$B$2:$B$1973,B637,Paradas!$C$2:$C$1973,C637)</f>
        <v>186</v>
      </c>
      <c r="I637" s="19" t="n">
        <f aca="false">D637-H637</f>
        <v>294</v>
      </c>
      <c r="J637" s="19" t="n">
        <f aca="false">I637*E637</f>
        <v>2940</v>
      </c>
      <c r="K637" s="16" t="n">
        <f aca="false">IF(D637=0,0,I637/D637)</f>
        <v>0.6125</v>
      </c>
      <c r="L637" s="16" t="n">
        <f aca="false">IF(J637=0,0,F637/J637)</f>
        <v>0.830272108843537</v>
      </c>
      <c r="M637" s="16" t="n">
        <f aca="false">IF(F637=0,0,G637/F637)</f>
        <v>0.962720196640721</v>
      </c>
      <c r="N637" s="16" t="n">
        <f aca="false">K637*L637*M637</f>
        <v>0.489583333333333</v>
      </c>
      <c r="O637" s="19" t="n">
        <f aca="false">MONTH(A637)</f>
        <v>9</v>
      </c>
      <c r="P637" s="19" t="n">
        <f aca="false">INT((A637-DATE(2026,7,1))/7)+1</f>
        <v>11</v>
      </c>
    </row>
    <row r="638" customFormat="false" ht="15" hidden="false" customHeight="false" outlineLevel="0" collapsed="false">
      <c r="A638" s="25" t="n">
        <v>46274</v>
      </c>
      <c r="B638" s="26" t="s">
        <v>18</v>
      </c>
      <c r="C638" s="26" t="s">
        <v>72</v>
      </c>
      <c r="D638" s="26" t="n">
        <v>480</v>
      </c>
      <c r="E638" s="26" t="n">
        <v>8</v>
      </c>
      <c r="F638" s="26" t="n">
        <v>2600</v>
      </c>
      <c r="G638" s="26" t="n">
        <v>2512</v>
      </c>
      <c r="H638" s="19" t="n">
        <f aca="false">SUMIFS(Paradas!$E$2:$E$1973,Paradas!$A$2:$A$1973,A638,Paradas!$B$2:$B$1973,B638,Paradas!$C$2:$C$1973,C638)</f>
        <v>123</v>
      </c>
      <c r="I638" s="19" t="n">
        <f aca="false">D638-H638</f>
        <v>357</v>
      </c>
      <c r="J638" s="19" t="n">
        <f aca="false">I638*E638</f>
        <v>2856</v>
      </c>
      <c r="K638" s="16" t="n">
        <f aca="false">IF(D638=0,0,I638/D638)</f>
        <v>0.74375</v>
      </c>
      <c r="L638" s="16" t="n">
        <f aca="false">IF(J638=0,0,F638/J638)</f>
        <v>0.910364145658263</v>
      </c>
      <c r="M638" s="16" t="n">
        <f aca="false">IF(F638=0,0,G638/F638)</f>
        <v>0.966153846153846</v>
      </c>
      <c r="N638" s="16" t="n">
        <f aca="false">K638*L638*M638</f>
        <v>0.654166666666667</v>
      </c>
      <c r="O638" s="19" t="n">
        <f aca="false">MONTH(A638)</f>
        <v>9</v>
      </c>
      <c r="P638" s="19" t="n">
        <f aca="false">INT((A638-DATE(2026,7,1))/7)+1</f>
        <v>11</v>
      </c>
    </row>
    <row r="639" customFormat="false" ht="15" hidden="false" customHeight="false" outlineLevel="0" collapsed="false">
      <c r="A639" s="25" t="n">
        <v>46274</v>
      </c>
      <c r="B639" s="26" t="s">
        <v>18</v>
      </c>
      <c r="C639" s="26" t="s">
        <v>73</v>
      </c>
      <c r="D639" s="26" t="n">
        <v>480</v>
      </c>
      <c r="E639" s="26" t="n">
        <v>8</v>
      </c>
      <c r="F639" s="26" t="n">
        <v>2323</v>
      </c>
      <c r="G639" s="26" t="n">
        <v>2251</v>
      </c>
      <c r="H639" s="19" t="n">
        <f aca="false">SUMIFS(Paradas!$E$2:$E$1973,Paradas!$A$2:$A$1973,A639,Paradas!$B$2:$B$1973,B639,Paradas!$C$2:$C$1973,C639)</f>
        <v>168</v>
      </c>
      <c r="I639" s="19" t="n">
        <f aca="false">D639-H639</f>
        <v>312</v>
      </c>
      <c r="J639" s="19" t="n">
        <f aca="false">I639*E639</f>
        <v>2496</v>
      </c>
      <c r="K639" s="16" t="n">
        <f aca="false">IF(D639=0,0,I639/D639)</f>
        <v>0.65</v>
      </c>
      <c r="L639" s="16" t="n">
        <f aca="false">IF(J639=0,0,F639/J639)</f>
        <v>0.930689102564103</v>
      </c>
      <c r="M639" s="16" t="n">
        <f aca="false">IF(F639=0,0,G639/F639)</f>
        <v>0.969005596211795</v>
      </c>
      <c r="N639" s="16" t="n">
        <f aca="false">K639*L639*M639</f>
        <v>0.586197916666667</v>
      </c>
      <c r="O639" s="19" t="n">
        <f aca="false">MONTH(A639)</f>
        <v>9</v>
      </c>
      <c r="P639" s="19" t="n">
        <f aca="false">INT((A639-DATE(2026,7,1))/7)+1</f>
        <v>11</v>
      </c>
    </row>
    <row r="640" customFormat="false" ht="15" hidden="false" customHeight="false" outlineLevel="0" collapsed="false">
      <c r="A640" s="25" t="n">
        <v>46274</v>
      </c>
      <c r="B640" s="26" t="s">
        <v>18</v>
      </c>
      <c r="C640" s="26" t="s">
        <v>74</v>
      </c>
      <c r="D640" s="26" t="n">
        <v>480</v>
      </c>
      <c r="E640" s="26" t="n">
        <v>8</v>
      </c>
      <c r="F640" s="26" t="n">
        <v>2951</v>
      </c>
      <c r="G640" s="26" t="n">
        <v>2913</v>
      </c>
      <c r="H640" s="19" t="n">
        <f aca="false">SUMIFS(Paradas!$E$2:$E$1973,Paradas!$A$2:$A$1973,A640,Paradas!$B$2:$B$1973,B640,Paradas!$C$2:$C$1973,C640)</f>
        <v>69</v>
      </c>
      <c r="I640" s="19" t="n">
        <f aca="false">D640-H640</f>
        <v>411</v>
      </c>
      <c r="J640" s="19" t="n">
        <f aca="false">I640*E640</f>
        <v>3288</v>
      </c>
      <c r="K640" s="16" t="n">
        <f aca="false">IF(D640=0,0,I640/D640)</f>
        <v>0.85625</v>
      </c>
      <c r="L640" s="16" t="n">
        <f aca="false">IF(J640=0,0,F640/J640)</f>
        <v>0.897506082725061</v>
      </c>
      <c r="M640" s="16" t="n">
        <f aca="false">IF(F640=0,0,G640/F640)</f>
        <v>0.987123009149441</v>
      </c>
      <c r="N640" s="16" t="n">
        <f aca="false">K640*L640*M640</f>
        <v>0.75859375</v>
      </c>
      <c r="O640" s="19" t="n">
        <f aca="false">MONTH(A640)</f>
        <v>9</v>
      </c>
      <c r="P640" s="19" t="n">
        <f aca="false">INT((A640-DATE(2026,7,1))/7)+1</f>
        <v>11</v>
      </c>
    </row>
    <row r="641" customFormat="false" ht="15" hidden="false" customHeight="false" outlineLevel="0" collapsed="false">
      <c r="A641" s="25" t="n">
        <v>46275</v>
      </c>
      <c r="B641" s="26" t="s">
        <v>16</v>
      </c>
      <c r="C641" s="26" t="s">
        <v>72</v>
      </c>
      <c r="D641" s="26" t="n">
        <v>480</v>
      </c>
      <c r="E641" s="26" t="n">
        <v>12</v>
      </c>
      <c r="F641" s="26" t="n">
        <v>3807</v>
      </c>
      <c r="G641" s="26" t="n">
        <v>3722</v>
      </c>
      <c r="H641" s="19" t="n">
        <f aca="false">SUMIFS(Paradas!$E$2:$E$1973,Paradas!$A$2:$A$1973,A641,Paradas!$B$2:$B$1973,B641,Paradas!$C$2:$C$1973,C641)</f>
        <v>109</v>
      </c>
      <c r="I641" s="19" t="n">
        <f aca="false">D641-H641</f>
        <v>371</v>
      </c>
      <c r="J641" s="19" t="n">
        <f aca="false">I641*E641</f>
        <v>4452</v>
      </c>
      <c r="K641" s="16" t="n">
        <f aca="false">IF(D641=0,0,I641/D641)</f>
        <v>0.772916666666667</v>
      </c>
      <c r="L641" s="16" t="n">
        <f aca="false">IF(J641=0,0,F641/J641)</f>
        <v>0.855121293800539</v>
      </c>
      <c r="M641" s="16" t="n">
        <f aca="false">IF(F641=0,0,G641/F641)</f>
        <v>0.977672708169162</v>
      </c>
      <c r="N641" s="16" t="n">
        <f aca="false">K641*L641*M641</f>
        <v>0.646180555555556</v>
      </c>
      <c r="O641" s="19" t="n">
        <f aca="false">MONTH(A641)</f>
        <v>9</v>
      </c>
      <c r="P641" s="19" t="n">
        <f aca="false">INT((A641-DATE(2026,7,1))/7)+1</f>
        <v>11</v>
      </c>
    </row>
    <row r="642" customFormat="false" ht="15" hidden="false" customHeight="false" outlineLevel="0" collapsed="false">
      <c r="A642" s="25" t="n">
        <v>46275</v>
      </c>
      <c r="B642" s="26" t="s">
        <v>16</v>
      </c>
      <c r="C642" s="26" t="s">
        <v>73</v>
      </c>
      <c r="D642" s="26" t="n">
        <v>480</v>
      </c>
      <c r="E642" s="26" t="n">
        <v>12</v>
      </c>
      <c r="F642" s="26" t="n">
        <v>4947</v>
      </c>
      <c r="G642" s="26" t="n">
        <v>4883</v>
      </c>
      <c r="H642" s="19" t="n">
        <f aca="false">SUMIFS(Paradas!$E$2:$E$1973,Paradas!$A$2:$A$1973,A642,Paradas!$B$2:$B$1973,B642,Paradas!$C$2:$C$1973,C642)</f>
        <v>38</v>
      </c>
      <c r="I642" s="19" t="n">
        <f aca="false">D642-H642</f>
        <v>442</v>
      </c>
      <c r="J642" s="19" t="n">
        <f aca="false">I642*E642</f>
        <v>5304</v>
      </c>
      <c r="K642" s="16" t="n">
        <f aca="false">IF(D642=0,0,I642/D642)</f>
        <v>0.920833333333333</v>
      </c>
      <c r="L642" s="16" t="n">
        <f aca="false">IF(J642=0,0,F642/J642)</f>
        <v>0.932692307692308</v>
      </c>
      <c r="M642" s="16" t="n">
        <f aca="false">IF(F642=0,0,G642/F642)</f>
        <v>0.987062866383667</v>
      </c>
      <c r="N642" s="16" t="n">
        <f aca="false">K642*L642*M642</f>
        <v>0.847743055555556</v>
      </c>
      <c r="O642" s="19" t="n">
        <f aca="false">MONTH(A642)</f>
        <v>9</v>
      </c>
      <c r="P642" s="19" t="n">
        <f aca="false">INT((A642-DATE(2026,7,1))/7)+1</f>
        <v>11</v>
      </c>
    </row>
    <row r="643" customFormat="false" ht="15" hidden="false" customHeight="false" outlineLevel="0" collapsed="false">
      <c r="A643" s="25" t="n">
        <v>46275</v>
      </c>
      <c r="B643" s="26" t="s">
        <v>16</v>
      </c>
      <c r="C643" s="26" t="s">
        <v>74</v>
      </c>
      <c r="D643" s="26" t="n">
        <v>480</v>
      </c>
      <c r="E643" s="26" t="n">
        <v>12</v>
      </c>
      <c r="F643" s="26" t="n">
        <v>3196</v>
      </c>
      <c r="G643" s="26" t="n">
        <v>3137</v>
      </c>
      <c r="H643" s="19" t="n">
        <f aca="false">SUMIFS(Paradas!$E$2:$E$1973,Paradas!$A$2:$A$1973,A643,Paradas!$B$2:$B$1973,B643,Paradas!$C$2:$C$1973,C643)</f>
        <v>174</v>
      </c>
      <c r="I643" s="19" t="n">
        <f aca="false">D643-H643</f>
        <v>306</v>
      </c>
      <c r="J643" s="19" t="n">
        <f aca="false">I643*E643</f>
        <v>3672</v>
      </c>
      <c r="K643" s="16" t="n">
        <f aca="false">IF(D643=0,0,I643/D643)</f>
        <v>0.6375</v>
      </c>
      <c r="L643" s="16" t="n">
        <f aca="false">IF(J643=0,0,F643/J643)</f>
        <v>0.87037037037037</v>
      </c>
      <c r="M643" s="16" t="n">
        <f aca="false">IF(F643=0,0,G643/F643)</f>
        <v>0.981539424280351</v>
      </c>
      <c r="N643" s="16" t="n">
        <f aca="false">K643*L643*M643</f>
        <v>0.544618055555556</v>
      </c>
      <c r="O643" s="19" t="n">
        <f aca="false">MONTH(A643)</f>
        <v>9</v>
      </c>
      <c r="P643" s="19" t="n">
        <f aca="false">INT((A643-DATE(2026,7,1))/7)+1</f>
        <v>11</v>
      </c>
    </row>
    <row r="644" customFormat="false" ht="15" hidden="false" customHeight="false" outlineLevel="0" collapsed="false">
      <c r="A644" s="25" t="n">
        <v>46275</v>
      </c>
      <c r="B644" s="26" t="s">
        <v>17</v>
      </c>
      <c r="C644" s="26" t="s">
        <v>72</v>
      </c>
      <c r="D644" s="26" t="n">
        <v>480</v>
      </c>
      <c r="E644" s="26" t="n">
        <v>10</v>
      </c>
      <c r="F644" s="26" t="n">
        <v>3029</v>
      </c>
      <c r="G644" s="26" t="n">
        <v>2900</v>
      </c>
      <c r="H644" s="19" t="n">
        <f aca="false">SUMIFS(Paradas!$E$2:$E$1973,Paradas!$A$2:$A$1973,A644,Paradas!$B$2:$B$1973,B644,Paradas!$C$2:$C$1973,C644)</f>
        <v>142</v>
      </c>
      <c r="I644" s="19" t="n">
        <f aca="false">D644-H644</f>
        <v>338</v>
      </c>
      <c r="J644" s="19" t="n">
        <f aca="false">I644*E644</f>
        <v>3380</v>
      </c>
      <c r="K644" s="16" t="n">
        <f aca="false">IF(D644=0,0,I644/D644)</f>
        <v>0.704166666666667</v>
      </c>
      <c r="L644" s="16" t="n">
        <f aca="false">IF(J644=0,0,F644/J644)</f>
        <v>0.896153846153846</v>
      </c>
      <c r="M644" s="16" t="n">
        <f aca="false">IF(F644=0,0,G644/F644)</f>
        <v>0.957411687025421</v>
      </c>
      <c r="N644" s="16" t="n">
        <f aca="false">K644*L644*M644</f>
        <v>0.604166666666667</v>
      </c>
      <c r="O644" s="19" t="n">
        <f aca="false">MONTH(A644)</f>
        <v>9</v>
      </c>
      <c r="P644" s="19" t="n">
        <f aca="false">INT((A644-DATE(2026,7,1))/7)+1</f>
        <v>11</v>
      </c>
    </row>
    <row r="645" customFormat="false" ht="15" hidden="false" customHeight="false" outlineLevel="0" collapsed="false">
      <c r="A645" s="25" t="n">
        <v>46275</v>
      </c>
      <c r="B645" s="26" t="s">
        <v>17</v>
      </c>
      <c r="C645" s="26" t="s">
        <v>73</v>
      </c>
      <c r="D645" s="26" t="n">
        <v>480</v>
      </c>
      <c r="E645" s="26" t="n">
        <v>10</v>
      </c>
      <c r="F645" s="26" t="n">
        <v>3921</v>
      </c>
      <c r="G645" s="26" t="n">
        <v>3755</v>
      </c>
      <c r="H645" s="19" t="n">
        <f aca="false">SUMIFS(Paradas!$E$2:$E$1973,Paradas!$A$2:$A$1973,A645,Paradas!$B$2:$B$1973,B645,Paradas!$C$2:$C$1973,C645)</f>
        <v>59</v>
      </c>
      <c r="I645" s="19" t="n">
        <f aca="false">D645-H645</f>
        <v>421</v>
      </c>
      <c r="J645" s="19" t="n">
        <f aca="false">I645*E645</f>
        <v>4210</v>
      </c>
      <c r="K645" s="16" t="n">
        <f aca="false">IF(D645=0,0,I645/D645)</f>
        <v>0.877083333333333</v>
      </c>
      <c r="L645" s="16" t="n">
        <f aca="false">IF(J645=0,0,F645/J645)</f>
        <v>0.931353919239905</v>
      </c>
      <c r="M645" s="16" t="n">
        <f aca="false">IF(F645=0,0,G645/F645)</f>
        <v>0.957663861259883</v>
      </c>
      <c r="N645" s="16" t="n">
        <f aca="false">K645*L645*M645</f>
        <v>0.782291666666667</v>
      </c>
      <c r="O645" s="19" t="n">
        <f aca="false">MONTH(A645)</f>
        <v>9</v>
      </c>
      <c r="P645" s="19" t="n">
        <f aca="false">INT((A645-DATE(2026,7,1))/7)+1</f>
        <v>11</v>
      </c>
    </row>
    <row r="646" customFormat="false" ht="15" hidden="false" customHeight="false" outlineLevel="0" collapsed="false">
      <c r="A646" s="25" t="n">
        <v>46275</v>
      </c>
      <c r="B646" s="26" t="s">
        <v>17</v>
      </c>
      <c r="C646" s="26" t="s">
        <v>74</v>
      </c>
      <c r="D646" s="26" t="n">
        <v>480</v>
      </c>
      <c r="E646" s="26" t="n">
        <v>10</v>
      </c>
      <c r="F646" s="26" t="n">
        <v>2386</v>
      </c>
      <c r="G646" s="26" t="n">
        <v>2249</v>
      </c>
      <c r="H646" s="19" t="n">
        <f aca="false">SUMIFS(Paradas!$E$2:$E$1973,Paradas!$A$2:$A$1973,A646,Paradas!$B$2:$B$1973,B646,Paradas!$C$2:$C$1973,C646)</f>
        <v>183</v>
      </c>
      <c r="I646" s="19" t="n">
        <f aca="false">D646-H646</f>
        <v>297</v>
      </c>
      <c r="J646" s="19" t="n">
        <f aca="false">I646*E646</f>
        <v>2970</v>
      </c>
      <c r="K646" s="16" t="n">
        <f aca="false">IF(D646=0,0,I646/D646)</f>
        <v>0.61875</v>
      </c>
      <c r="L646" s="16" t="n">
        <f aca="false">IF(J646=0,0,F646/J646)</f>
        <v>0.803367003367003</v>
      </c>
      <c r="M646" s="16" t="n">
        <f aca="false">IF(F646=0,0,G646/F646)</f>
        <v>0.942581726739313</v>
      </c>
      <c r="N646" s="16" t="n">
        <f aca="false">K646*L646*M646</f>
        <v>0.468541666666667</v>
      </c>
      <c r="O646" s="19" t="n">
        <f aca="false">MONTH(A646)</f>
        <v>9</v>
      </c>
      <c r="P646" s="19" t="n">
        <f aca="false">INT((A646-DATE(2026,7,1))/7)+1</f>
        <v>11</v>
      </c>
    </row>
    <row r="647" customFormat="false" ht="15" hidden="false" customHeight="false" outlineLevel="0" collapsed="false">
      <c r="A647" s="25" t="n">
        <v>46275</v>
      </c>
      <c r="B647" s="26" t="s">
        <v>18</v>
      </c>
      <c r="C647" s="26" t="s">
        <v>72</v>
      </c>
      <c r="D647" s="26" t="n">
        <v>480</v>
      </c>
      <c r="E647" s="26" t="n">
        <v>8</v>
      </c>
      <c r="F647" s="26" t="n">
        <v>1962</v>
      </c>
      <c r="G647" s="26" t="n">
        <v>1958</v>
      </c>
      <c r="H647" s="19" t="n">
        <f aca="false">SUMIFS(Paradas!$E$2:$E$1973,Paradas!$A$2:$A$1973,A647,Paradas!$B$2:$B$1973,B647,Paradas!$C$2:$C$1973,C647)</f>
        <v>205</v>
      </c>
      <c r="I647" s="19" t="n">
        <f aca="false">D647-H647</f>
        <v>275</v>
      </c>
      <c r="J647" s="19" t="n">
        <f aca="false">I647*E647</f>
        <v>2200</v>
      </c>
      <c r="K647" s="16" t="n">
        <f aca="false">IF(D647=0,0,I647/D647)</f>
        <v>0.572916666666667</v>
      </c>
      <c r="L647" s="16" t="n">
        <f aca="false">IF(J647=0,0,F647/J647)</f>
        <v>0.891818181818182</v>
      </c>
      <c r="M647" s="16" t="n">
        <f aca="false">IF(F647=0,0,G647/F647)</f>
        <v>0.99796126401631</v>
      </c>
      <c r="N647" s="16" t="n">
        <f aca="false">K647*L647*M647</f>
        <v>0.509895833333333</v>
      </c>
      <c r="O647" s="19" t="n">
        <f aca="false">MONTH(A647)</f>
        <v>9</v>
      </c>
      <c r="P647" s="19" t="n">
        <f aca="false">INT((A647-DATE(2026,7,1))/7)+1</f>
        <v>11</v>
      </c>
    </row>
    <row r="648" customFormat="false" ht="15" hidden="false" customHeight="false" outlineLevel="0" collapsed="false">
      <c r="A648" s="25" t="n">
        <v>46275</v>
      </c>
      <c r="B648" s="26" t="s">
        <v>18</v>
      </c>
      <c r="C648" s="26" t="s">
        <v>73</v>
      </c>
      <c r="D648" s="26" t="n">
        <v>480</v>
      </c>
      <c r="E648" s="26" t="n">
        <v>8</v>
      </c>
      <c r="F648" s="26" t="n">
        <v>2381</v>
      </c>
      <c r="G648" s="26" t="n">
        <v>2306</v>
      </c>
      <c r="H648" s="19" t="n">
        <f aca="false">SUMIFS(Paradas!$E$2:$E$1973,Paradas!$A$2:$A$1973,A648,Paradas!$B$2:$B$1973,B648,Paradas!$C$2:$C$1973,C648)</f>
        <v>137</v>
      </c>
      <c r="I648" s="19" t="n">
        <f aca="false">D648-H648</f>
        <v>343</v>
      </c>
      <c r="J648" s="19" t="n">
        <f aca="false">I648*E648</f>
        <v>2744</v>
      </c>
      <c r="K648" s="16" t="n">
        <f aca="false">IF(D648=0,0,I648/D648)</f>
        <v>0.714583333333333</v>
      </c>
      <c r="L648" s="16" t="n">
        <f aca="false">IF(J648=0,0,F648/J648)</f>
        <v>0.867711370262391</v>
      </c>
      <c r="M648" s="16" t="n">
        <f aca="false">IF(F648=0,0,G648/F648)</f>
        <v>0.9685006299874</v>
      </c>
      <c r="N648" s="16" t="n">
        <f aca="false">K648*L648*M648</f>
        <v>0.600520833333333</v>
      </c>
      <c r="O648" s="19" t="n">
        <f aca="false">MONTH(A648)</f>
        <v>9</v>
      </c>
      <c r="P648" s="19" t="n">
        <f aca="false">INT((A648-DATE(2026,7,1))/7)+1</f>
        <v>11</v>
      </c>
    </row>
    <row r="649" customFormat="false" ht="15" hidden="false" customHeight="false" outlineLevel="0" collapsed="false">
      <c r="A649" s="25" t="n">
        <v>46275</v>
      </c>
      <c r="B649" s="26" t="s">
        <v>18</v>
      </c>
      <c r="C649" s="26" t="s">
        <v>74</v>
      </c>
      <c r="D649" s="26" t="n">
        <v>480</v>
      </c>
      <c r="E649" s="26" t="n">
        <v>8</v>
      </c>
      <c r="F649" s="26" t="n">
        <v>3037</v>
      </c>
      <c r="G649" s="26" t="n">
        <v>2904</v>
      </c>
      <c r="H649" s="19" t="n">
        <f aca="false">SUMIFS(Paradas!$E$2:$E$1973,Paradas!$A$2:$A$1973,A649,Paradas!$B$2:$B$1973,B649,Paradas!$C$2:$C$1973,C649)</f>
        <v>39</v>
      </c>
      <c r="I649" s="19" t="n">
        <f aca="false">D649-H649</f>
        <v>441</v>
      </c>
      <c r="J649" s="19" t="n">
        <f aca="false">I649*E649</f>
        <v>3528</v>
      </c>
      <c r="K649" s="16" t="n">
        <f aca="false">IF(D649=0,0,I649/D649)</f>
        <v>0.91875</v>
      </c>
      <c r="L649" s="16" t="n">
        <f aca="false">IF(J649=0,0,F649/J649)</f>
        <v>0.860827664399093</v>
      </c>
      <c r="M649" s="16" t="n">
        <f aca="false">IF(F649=0,0,G649/F649)</f>
        <v>0.956206783009549</v>
      </c>
      <c r="N649" s="16" t="n">
        <f aca="false">K649*L649*M649</f>
        <v>0.75625</v>
      </c>
      <c r="O649" s="19" t="n">
        <f aca="false">MONTH(A649)</f>
        <v>9</v>
      </c>
      <c r="P649" s="19" t="n">
        <f aca="false">INT((A649-DATE(2026,7,1))/7)+1</f>
        <v>11</v>
      </c>
    </row>
    <row r="650" customFormat="false" ht="15" hidden="false" customHeight="false" outlineLevel="0" collapsed="false">
      <c r="A650" s="25" t="n">
        <v>46276</v>
      </c>
      <c r="B650" s="26" t="s">
        <v>16</v>
      </c>
      <c r="C650" s="26" t="s">
        <v>72</v>
      </c>
      <c r="D650" s="26" t="n">
        <v>480</v>
      </c>
      <c r="E650" s="26" t="n">
        <v>12</v>
      </c>
      <c r="F650" s="26" t="n">
        <v>4384</v>
      </c>
      <c r="G650" s="26" t="n">
        <v>4289</v>
      </c>
      <c r="H650" s="19" t="n">
        <f aca="false">SUMIFS(Paradas!$E$2:$E$1973,Paradas!$A$2:$A$1973,A650,Paradas!$B$2:$B$1973,B650,Paradas!$C$2:$C$1973,C650)</f>
        <v>63</v>
      </c>
      <c r="I650" s="19" t="n">
        <f aca="false">D650-H650</f>
        <v>417</v>
      </c>
      <c r="J650" s="19" t="n">
        <f aca="false">I650*E650</f>
        <v>5004</v>
      </c>
      <c r="K650" s="16" t="n">
        <f aca="false">IF(D650=0,0,I650/D650)</f>
        <v>0.86875</v>
      </c>
      <c r="L650" s="16" t="n">
        <f aca="false">IF(J650=0,0,F650/J650)</f>
        <v>0.876099120703437</v>
      </c>
      <c r="M650" s="16" t="n">
        <f aca="false">IF(F650=0,0,G650/F650)</f>
        <v>0.978330291970803</v>
      </c>
      <c r="N650" s="16" t="n">
        <f aca="false">K650*L650*M650</f>
        <v>0.744618055555556</v>
      </c>
      <c r="O650" s="19" t="n">
        <f aca="false">MONTH(A650)</f>
        <v>9</v>
      </c>
      <c r="P650" s="19" t="n">
        <f aca="false">INT((A650-DATE(2026,7,1))/7)+1</f>
        <v>11</v>
      </c>
    </row>
    <row r="651" customFormat="false" ht="15" hidden="false" customHeight="false" outlineLevel="0" collapsed="false">
      <c r="A651" s="25" t="n">
        <v>46276</v>
      </c>
      <c r="B651" s="26" t="s">
        <v>16</v>
      </c>
      <c r="C651" s="26" t="s">
        <v>73</v>
      </c>
      <c r="D651" s="26" t="n">
        <v>480</v>
      </c>
      <c r="E651" s="26" t="n">
        <v>12</v>
      </c>
      <c r="F651" s="26" t="n">
        <v>4007</v>
      </c>
      <c r="G651" s="26" t="n">
        <v>3874</v>
      </c>
      <c r="H651" s="19" t="n">
        <f aca="false">SUMIFS(Paradas!$E$2:$E$1973,Paradas!$A$2:$A$1973,A651,Paradas!$B$2:$B$1973,B651,Paradas!$C$2:$C$1973,C651)</f>
        <v>88</v>
      </c>
      <c r="I651" s="19" t="n">
        <f aca="false">D651-H651</f>
        <v>392</v>
      </c>
      <c r="J651" s="19" t="n">
        <f aca="false">I651*E651</f>
        <v>4704</v>
      </c>
      <c r="K651" s="16" t="n">
        <f aca="false">IF(D651=0,0,I651/D651)</f>
        <v>0.816666666666667</v>
      </c>
      <c r="L651" s="16" t="n">
        <f aca="false">IF(J651=0,0,F651/J651)</f>
        <v>0.851828231292517</v>
      </c>
      <c r="M651" s="16" t="n">
        <f aca="false">IF(F651=0,0,G651/F651)</f>
        <v>0.966808085849763</v>
      </c>
      <c r="N651" s="16" t="n">
        <f aca="false">K651*L651*M651</f>
        <v>0.672569444444445</v>
      </c>
      <c r="O651" s="19" t="n">
        <f aca="false">MONTH(A651)</f>
        <v>9</v>
      </c>
      <c r="P651" s="19" t="n">
        <f aca="false">INT((A651-DATE(2026,7,1))/7)+1</f>
        <v>11</v>
      </c>
    </row>
    <row r="652" customFormat="false" ht="15" hidden="false" customHeight="false" outlineLevel="0" collapsed="false">
      <c r="A652" s="25" t="n">
        <v>46276</v>
      </c>
      <c r="B652" s="26" t="s">
        <v>16</v>
      </c>
      <c r="C652" s="26" t="s">
        <v>74</v>
      </c>
      <c r="D652" s="26" t="n">
        <v>480</v>
      </c>
      <c r="E652" s="26" t="n">
        <v>12</v>
      </c>
      <c r="F652" s="26" t="n">
        <v>5063</v>
      </c>
      <c r="G652" s="26" t="n">
        <v>4993</v>
      </c>
      <c r="H652" s="19" t="n">
        <f aca="false">SUMIFS(Paradas!$E$2:$E$1973,Paradas!$A$2:$A$1973,A652,Paradas!$B$2:$B$1973,B652,Paradas!$C$2:$C$1973,C652)</f>
        <v>0</v>
      </c>
      <c r="I652" s="19" t="n">
        <f aca="false">D652-H652</f>
        <v>480</v>
      </c>
      <c r="J652" s="19" t="n">
        <f aca="false">I652*E652</f>
        <v>5760</v>
      </c>
      <c r="K652" s="16" t="n">
        <f aca="false">IF(D652=0,0,I652/D652)</f>
        <v>1</v>
      </c>
      <c r="L652" s="16" t="n">
        <f aca="false">IF(J652=0,0,F652/J652)</f>
        <v>0.878993055555556</v>
      </c>
      <c r="M652" s="16" t="n">
        <f aca="false">IF(F652=0,0,G652/F652)</f>
        <v>0.986174205016788</v>
      </c>
      <c r="N652" s="16" t="n">
        <f aca="false">K652*L652*M652</f>
        <v>0.866840277777778</v>
      </c>
      <c r="O652" s="19" t="n">
        <f aca="false">MONTH(A652)</f>
        <v>9</v>
      </c>
      <c r="P652" s="19" t="n">
        <f aca="false">INT((A652-DATE(2026,7,1))/7)+1</f>
        <v>11</v>
      </c>
    </row>
    <row r="653" customFormat="false" ht="15" hidden="false" customHeight="false" outlineLevel="0" collapsed="false">
      <c r="A653" s="25" t="n">
        <v>46276</v>
      </c>
      <c r="B653" s="26" t="s">
        <v>17</v>
      </c>
      <c r="C653" s="26" t="s">
        <v>72</v>
      </c>
      <c r="D653" s="26" t="n">
        <v>480</v>
      </c>
      <c r="E653" s="26" t="n">
        <v>10</v>
      </c>
      <c r="F653" s="26" t="n">
        <v>3739</v>
      </c>
      <c r="G653" s="26" t="n">
        <v>3578</v>
      </c>
      <c r="H653" s="19" t="n">
        <f aca="false">SUMIFS(Paradas!$E$2:$E$1973,Paradas!$A$2:$A$1973,A653,Paradas!$B$2:$B$1973,B653,Paradas!$C$2:$C$1973,C653)</f>
        <v>62</v>
      </c>
      <c r="I653" s="19" t="n">
        <f aca="false">D653-H653</f>
        <v>418</v>
      </c>
      <c r="J653" s="19" t="n">
        <f aca="false">I653*E653</f>
        <v>4180</v>
      </c>
      <c r="K653" s="16" t="n">
        <f aca="false">IF(D653=0,0,I653/D653)</f>
        <v>0.870833333333333</v>
      </c>
      <c r="L653" s="16" t="n">
        <f aca="false">IF(J653=0,0,F653/J653)</f>
        <v>0.894497607655502</v>
      </c>
      <c r="M653" s="16" t="n">
        <f aca="false">IF(F653=0,0,G653/F653)</f>
        <v>0.956940358384595</v>
      </c>
      <c r="N653" s="16" t="n">
        <f aca="false">K653*L653*M653</f>
        <v>0.745416666666667</v>
      </c>
      <c r="O653" s="19" t="n">
        <f aca="false">MONTH(A653)</f>
        <v>9</v>
      </c>
      <c r="P653" s="19" t="n">
        <f aca="false">INT((A653-DATE(2026,7,1))/7)+1</f>
        <v>11</v>
      </c>
    </row>
    <row r="654" customFormat="false" ht="15" hidden="false" customHeight="false" outlineLevel="0" collapsed="false">
      <c r="A654" s="25" t="n">
        <v>46276</v>
      </c>
      <c r="B654" s="26" t="s">
        <v>17</v>
      </c>
      <c r="C654" s="26" t="s">
        <v>73</v>
      </c>
      <c r="D654" s="26" t="n">
        <v>480</v>
      </c>
      <c r="E654" s="26" t="n">
        <v>10</v>
      </c>
      <c r="F654" s="26" t="n">
        <v>3450</v>
      </c>
      <c r="G654" s="26" t="n">
        <v>3298</v>
      </c>
      <c r="H654" s="19" t="n">
        <f aca="false">SUMIFS(Paradas!$E$2:$E$1973,Paradas!$A$2:$A$1973,A654,Paradas!$B$2:$B$1973,B654,Paradas!$C$2:$C$1973,C654)</f>
        <v>77</v>
      </c>
      <c r="I654" s="19" t="n">
        <f aca="false">D654-H654</f>
        <v>403</v>
      </c>
      <c r="J654" s="19" t="n">
        <f aca="false">I654*E654</f>
        <v>4030</v>
      </c>
      <c r="K654" s="16" t="n">
        <f aca="false">IF(D654=0,0,I654/D654)</f>
        <v>0.839583333333333</v>
      </c>
      <c r="L654" s="16" t="n">
        <f aca="false">IF(J654=0,0,F654/J654)</f>
        <v>0.856079404466501</v>
      </c>
      <c r="M654" s="16" t="n">
        <f aca="false">IF(F654=0,0,G654/F654)</f>
        <v>0.955942028985507</v>
      </c>
      <c r="N654" s="16" t="n">
        <f aca="false">K654*L654*M654</f>
        <v>0.687083333333333</v>
      </c>
      <c r="O654" s="19" t="n">
        <f aca="false">MONTH(A654)</f>
        <v>9</v>
      </c>
      <c r="P654" s="19" t="n">
        <f aca="false">INT((A654-DATE(2026,7,1))/7)+1</f>
        <v>11</v>
      </c>
    </row>
    <row r="655" customFormat="false" ht="15" hidden="false" customHeight="false" outlineLevel="0" collapsed="false">
      <c r="A655" s="25" t="n">
        <v>46276</v>
      </c>
      <c r="B655" s="26" t="s">
        <v>17</v>
      </c>
      <c r="C655" s="26" t="s">
        <v>74</v>
      </c>
      <c r="D655" s="26" t="n">
        <v>480</v>
      </c>
      <c r="E655" s="26" t="n">
        <v>10</v>
      </c>
      <c r="F655" s="26" t="n">
        <v>3704</v>
      </c>
      <c r="G655" s="26" t="n">
        <v>3511</v>
      </c>
      <c r="H655" s="19" t="n">
        <f aca="false">SUMIFS(Paradas!$E$2:$E$1973,Paradas!$A$2:$A$1973,A655,Paradas!$B$2:$B$1973,B655,Paradas!$C$2:$C$1973,C655)</f>
        <v>66</v>
      </c>
      <c r="I655" s="19" t="n">
        <f aca="false">D655-H655</f>
        <v>414</v>
      </c>
      <c r="J655" s="19" t="n">
        <f aca="false">I655*E655</f>
        <v>4140</v>
      </c>
      <c r="K655" s="16" t="n">
        <f aca="false">IF(D655=0,0,I655/D655)</f>
        <v>0.8625</v>
      </c>
      <c r="L655" s="16" t="n">
        <f aca="false">IF(J655=0,0,F655/J655)</f>
        <v>0.894685990338164</v>
      </c>
      <c r="M655" s="16" t="n">
        <f aca="false">IF(F655=0,0,G655/F655)</f>
        <v>0.947894168466523</v>
      </c>
      <c r="N655" s="16" t="n">
        <f aca="false">K655*L655*M655</f>
        <v>0.731458333333333</v>
      </c>
      <c r="O655" s="19" t="n">
        <f aca="false">MONTH(A655)</f>
        <v>9</v>
      </c>
      <c r="P655" s="19" t="n">
        <f aca="false">INT((A655-DATE(2026,7,1))/7)+1</f>
        <v>11</v>
      </c>
    </row>
    <row r="656" customFormat="false" ht="15" hidden="false" customHeight="false" outlineLevel="0" collapsed="false">
      <c r="A656" s="25" t="n">
        <v>46276</v>
      </c>
      <c r="B656" s="26" t="s">
        <v>18</v>
      </c>
      <c r="C656" s="26" t="s">
        <v>72</v>
      </c>
      <c r="D656" s="26" t="n">
        <v>480</v>
      </c>
      <c r="E656" s="26" t="n">
        <v>8</v>
      </c>
      <c r="F656" s="26" t="n">
        <v>2952</v>
      </c>
      <c r="G656" s="26" t="n">
        <v>2876</v>
      </c>
      <c r="H656" s="19" t="n">
        <f aca="false">SUMIFS(Paradas!$E$2:$E$1973,Paradas!$A$2:$A$1973,A656,Paradas!$B$2:$B$1973,B656,Paradas!$C$2:$C$1973,C656)</f>
        <v>73</v>
      </c>
      <c r="I656" s="19" t="n">
        <f aca="false">D656-H656</f>
        <v>407</v>
      </c>
      <c r="J656" s="19" t="n">
        <f aca="false">I656*E656</f>
        <v>3256</v>
      </c>
      <c r="K656" s="16" t="n">
        <f aca="false">IF(D656=0,0,I656/D656)</f>
        <v>0.847916666666667</v>
      </c>
      <c r="L656" s="16" t="n">
        <f aca="false">IF(J656=0,0,F656/J656)</f>
        <v>0.906633906633907</v>
      </c>
      <c r="M656" s="16" t="n">
        <f aca="false">IF(F656=0,0,G656/F656)</f>
        <v>0.974254742547426</v>
      </c>
      <c r="N656" s="16" t="n">
        <f aca="false">K656*L656*M656</f>
        <v>0.748958333333333</v>
      </c>
      <c r="O656" s="19" t="n">
        <f aca="false">MONTH(A656)</f>
        <v>9</v>
      </c>
      <c r="P656" s="19" t="n">
        <f aca="false">INT((A656-DATE(2026,7,1))/7)+1</f>
        <v>11</v>
      </c>
    </row>
    <row r="657" customFormat="false" ht="15" hidden="false" customHeight="false" outlineLevel="0" collapsed="false">
      <c r="A657" s="25" t="n">
        <v>46276</v>
      </c>
      <c r="B657" s="26" t="s">
        <v>18</v>
      </c>
      <c r="C657" s="26" t="s">
        <v>73</v>
      </c>
      <c r="D657" s="26" t="n">
        <v>480</v>
      </c>
      <c r="E657" s="26" t="n">
        <v>8</v>
      </c>
      <c r="F657" s="26" t="n">
        <v>3374</v>
      </c>
      <c r="G657" s="26" t="n">
        <v>3256</v>
      </c>
      <c r="H657" s="19" t="n">
        <f aca="false">SUMIFS(Paradas!$E$2:$E$1973,Paradas!$A$2:$A$1973,A657,Paradas!$B$2:$B$1973,B657,Paradas!$C$2:$C$1973,C657)</f>
        <v>0</v>
      </c>
      <c r="I657" s="19" t="n">
        <f aca="false">D657-H657</f>
        <v>480</v>
      </c>
      <c r="J657" s="19" t="n">
        <f aca="false">I657*E657</f>
        <v>3840</v>
      </c>
      <c r="K657" s="16" t="n">
        <f aca="false">IF(D657=0,0,I657/D657)</f>
        <v>1</v>
      </c>
      <c r="L657" s="16" t="n">
        <f aca="false">IF(J657=0,0,F657/J657)</f>
        <v>0.878645833333333</v>
      </c>
      <c r="M657" s="16" t="n">
        <f aca="false">IF(F657=0,0,G657/F657)</f>
        <v>0.965026674570243</v>
      </c>
      <c r="N657" s="16" t="n">
        <f aca="false">K657*L657*M657</f>
        <v>0.847916666666667</v>
      </c>
      <c r="O657" s="19" t="n">
        <f aca="false">MONTH(A657)</f>
        <v>9</v>
      </c>
      <c r="P657" s="19" t="n">
        <f aca="false">INT((A657-DATE(2026,7,1))/7)+1</f>
        <v>11</v>
      </c>
    </row>
    <row r="658" customFormat="false" ht="15" hidden="false" customHeight="false" outlineLevel="0" collapsed="false">
      <c r="A658" s="25" t="n">
        <v>46276</v>
      </c>
      <c r="B658" s="26" t="s">
        <v>18</v>
      </c>
      <c r="C658" s="26" t="s">
        <v>74</v>
      </c>
      <c r="D658" s="26" t="n">
        <v>480</v>
      </c>
      <c r="E658" s="26" t="n">
        <v>8</v>
      </c>
      <c r="F658" s="26" t="n">
        <v>2907</v>
      </c>
      <c r="G658" s="26" t="n">
        <v>2849</v>
      </c>
      <c r="H658" s="19" t="n">
        <f aca="false">SUMIFS(Paradas!$E$2:$E$1973,Paradas!$A$2:$A$1973,A658,Paradas!$B$2:$B$1973,B658,Paradas!$C$2:$C$1973,C658)</f>
        <v>33</v>
      </c>
      <c r="I658" s="19" t="n">
        <f aca="false">D658-H658</f>
        <v>447</v>
      </c>
      <c r="J658" s="19" t="n">
        <f aca="false">I658*E658</f>
        <v>3576</v>
      </c>
      <c r="K658" s="16" t="n">
        <f aca="false">IF(D658=0,0,I658/D658)</f>
        <v>0.93125</v>
      </c>
      <c r="L658" s="16" t="n">
        <f aca="false">IF(J658=0,0,F658/J658)</f>
        <v>0.812919463087248</v>
      </c>
      <c r="M658" s="16" t="n">
        <f aca="false">IF(F658=0,0,G658/F658)</f>
        <v>0.980048159614723</v>
      </c>
      <c r="N658" s="16" t="n">
        <f aca="false">K658*L658*M658</f>
        <v>0.741927083333333</v>
      </c>
      <c r="O658" s="19" t="n">
        <f aca="false">MONTH(A658)</f>
        <v>9</v>
      </c>
      <c r="P658" s="19" t="n">
        <f aca="false">INT((A658-DATE(2026,7,1))/7)+1</f>
        <v>11</v>
      </c>
    </row>
    <row r="659" customFormat="false" ht="15" hidden="false" customHeight="false" outlineLevel="0" collapsed="false">
      <c r="A659" s="25" t="n">
        <v>46277</v>
      </c>
      <c r="B659" s="26" t="s">
        <v>16</v>
      </c>
      <c r="C659" s="26" t="s">
        <v>72</v>
      </c>
      <c r="D659" s="26" t="n">
        <v>480</v>
      </c>
      <c r="E659" s="26" t="n">
        <v>12</v>
      </c>
      <c r="F659" s="26" t="n">
        <v>4475</v>
      </c>
      <c r="G659" s="26" t="n">
        <v>4437</v>
      </c>
      <c r="H659" s="19" t="n">
        <f aca="false">SUMIFS(Paradas!$E$2:$E$1973,Paradas!$A$2:$A$1973,A659,Paradas!$B$2:$B$1973,B659,Paradas!$C$2:$C$1973,C659)</f>
        <v>65</v>
      </c>
      <c r="I659" s="19" t="n">
        <f aca="false">D659-H659</f>
        <v>415</v>
      </c>
      <c r="J659" s="19" t="n">
        <f aca="false">I659*E659</f>
        <v>4980</v>
      </c>
      <c r="K659" s="16" t="n">
        <f aca="false">IF(D659=0,0,I659/D659)</f>
        <v>0.864583333333333</v>
      </c>
      <c r="L659" s="16" t="n">
        <f aca="false">IF(J659=0,0,F659/J659)</f>
        <v>0.89859437751004</v>
      </c>
      <c r="M659" s="16" t="n">
        <f aca="false">IF(F659=0,0,G659/F659)</f>
        <v>0.991508379888268</v>
      </c>
      <c r="N659" s="16" t="n">
        <f aca="false">K659*L659*M659</f>
        <v>0.7703125</v>
      </c>
      <c r="O659" s="19" t="n">
        <f aca="false">MONTH(A659)</f>
        <v>9</v>
      </c>
      <c r="P659" s="19" t="n">
        <f aca="false">INT((A659-DATE(2026,7,1))/7)+1</f>
        <v>11</v>
      </c>
    </row>
    <row r="660" customFormat="false" ht="15" hidden="false" customHeight="false" outlineLevel="0" collapsed="false">
      <c r="A660" s="25" t="n">
        <v>46277</v>
      </c>
      <c r="B660" s="26" t="s">
        <v>16</v>
      </c>
      <c r="C660" s="26" t="s">
        <v>73</v>
      </c>
      <c r="D660" s="26" t="n">
        <v>480</v>
      </c>
      <c r="E660" s="26" t="n">
        <v>12</v>
      </c>
      <c r="F660" s="26" t="n">
        <v>4781</v>
      </c>
      <c r="G660" s="26" t="n">
        <v>4654</v>
      </c>
      <c r="H660" s="19" t="n">
        <f aca="false">SUMIFS(Paradas!$E$2:$E$1973,Paradas!$A$2:$A$1973,A660,Paradas!$B$2:$B$1973,B660,Paradas!$C$2:$C$1973,C660)</f>
        <v>25</v>
      </c>
      <c r="I660" s="19" t="n">
        <f aca="false">D660-H660</f>
        <v>455</v>
      </c>
      <c r="J660" s="19" t="n">
        <f aca="false">I660*E660</f>
        <v>5460</v>
      </c>
      <c r="K660" s="16" t="n">
        <f aca="false">IF(D660=0,0,I660/D660)</f>
        <v>0.947916666666667</v>
      </c>
      <c r="L660" s="16" t="n">
        <f aca="false">IF(J660=0,0,F660/J660)</f>
        <v>0.875641025641026</v>
      </c>
      <c r="M660" s="16" t="n">
        <f aca="false">IF(F660=0,0,G660/F660)</f>
        <v>0.973436519556578</v>
      </c>
      <c r="N660" s="16" t="n">
        <f aca="false">K660*L660*M660</f>
        <v>0.807986111111111</v>
      </c>
      <c r="O660" s="19" t="n">
        <f aca="false">MONTH(A660)</f>
        <v>9</v>
      </c>
      <c r="P660" s="19" t="n">
        <f aca="false">INT((A660-DATE(2026,7,1))/7)+1</f>
        <v>11</v>
      </c>
    </row>
    <row r="661" customFormat="false" ht="15" hidden="false" customHeight="false" outlineLevel="0" collapsed="false">
      <c r="A661" s="25" t="n">
        <v>46277</v>
      </c>
      <c r="B661" s="26" t="s">
        <v>16</v>
      </c>
      <c r="C661" s="26" t="s">
        <v>74</v>
      </c>
      <c r="D661" s="26" t="n">
        <v>480</v>
      </c>
      <c r="E661" s="26" t="n">
        <v>12</v>
      </c>
      <c r="F661" s="26" t="n">
        <v>4255</v>
      </c>
      <c r="G661" s="26" t="n">
        <v>4177</v>
      </c>
      <c r="H661" s="19" t="n">
        <f aca="false">SUMIFS(Paradas!$E$2:$E$1973,Paradas!$A$2:$A$1973,A661,Paradas!$B$2:$B$1973,B661,Paradas!$C$2:$C$1973,C661)</f>
        <v>49</v>
      </c>
      <c r="I661" s="19" t="n">
        <f aca="false">D661-H661</f>
        <v>431</v>
      </c>
      <c r="J661" s="19" t="n">
        <f aca="false">I661*E661</f>
        <v>5172</v>
      </c>
      <c r="K661" s="16" t="n">
        <f aca="false">IF(D661=0,0,I661/D661)</f>
        <v>0.897916666666667</v>
      </c>
      <c r="L661" s="16" t="n">
        <f aca="false">IF(J661=0,0,F661/J661)</f>
        <v>0.822699149265275</v>
      </c>
      <c r="M661" s="16" t="n">
        <f aca="false">IF(F661=0,0,G661/F661)</f>
        <v>0.981668625146886</v>
      </c>
      <c r="N661" s="16" t="n">
        <f aca="false">K661*L661*M661</f>
        <v>0.725173611111111</v>
      </c>
      <c r="O661" s="19" t="n">
        <f aca="false">MONTH(A661)</f>
        <v>9</v>
      </c>
      <c r="P661" s="19" t="n">
        <f aca="false">INT((A661-DATE(2026,7,1))/7)+1</f>
        <v>11</v>
      </c>
    </row>
    <row r="662" customFormat="false" ht="15" hidden="false" customHeight="false" outlineLevel="0" collapsed="false">
      <c r="A662" s="25" t="n">
        <v>46277</v>
      </c>
      <c r="B662" s="26" t="s">
        <v>17</v>
      </c>
      <c r="C662" s="26" t="s">
        <v>72</v>
      </c>
      <c r="D662" s="26" t="n">
        <v>480</v>
      </c>
      <c r="E662" s="26" t="n">
        <v>10</v>
      </c>
      <c r="F662" s="26" t="n">
        <v>3245</v>
      </c>
      <c r="G662" s="26" t="n">
        <v>3127</v>
      </c>
      <c r="H662" s="19" t="n">
        <f aca="false">SUMIFS(Paradas!$E$2:$E$1973,Paradas!$A$2:$A$1973,A662,Paradas!$B$2:$B$1973,B662,Paradas!$C$2:$C$1973,C662)</f>
        <v>119</v>
      </c>
      <c r="I662" s="19" t="n">
        <f aca="false">D662-H662</f>
        <v>361</v>
      </c>
      <c r="J662" s="19" t="n">
        <f aca="false">I662*E662</f>
        <v>3610</v>
      </c>
      <c r="K662" s="16" t="n">
        <f aca="false">IF(D662=0,0,I662/D662)</f>
        <v>0.752083333333333</v>
      </c>
      <c r="L662" s="16" t="n">
        <f aca="false">IF(J662=0,0,F662/J662)</f>
        <v>0.898891966759003</v>
      </c>
      <c r="M662" s="16" t="n">
        <f aca="false">IF(F662=0,0,G662/F662)</f>
        <v>0.963636363636364</v>
      </c>
      <c r="N662" s="16" t="n">
        <f aca="false">K662*L662*M662</f>
        <v>0.651458333333333</v>
      </c>
      <c r="O662" s="19" t="n">
        <f aca="false">MONTH(A662)</f>
        <v>9</v>
      </c>
      <c r="P662" s="19" t="n">
        <f aca="false">INT((A662-DATE(2026,7,1))/7)+1</f>
        <v>11</v>
      </c>
    </row>
    <row r="663" customFormat="false" ht="15" hidden="false" customHeight="false" outlineLevel="0" collapsed="false">
      <c r="A663" s="25" t="n">
        <v>46277</v>
      </c>
      <c r="B663" s="26" t="s">
        <v>17</v>
      </c>
      <c r="C663" s="26" t="s">
        <v>73</v>
      </c>
      <c r="D663" s="26" t="n">
        <v>480</v>
      </c>
      <c r="E663" s="26" t="n">
        <v>10</v>
      </c>
      <c r="F663" s="26" t="n">
        <v>3616</v>
      </c>
      <c r="G663" s="26" t="n">
        <v>3456</v>
      </c>
      <c r="H663" s="19" t="n">
        <f aca="false">SUMIFS(Paradas!$E$2:$E$1973,Paradas!$A$2:$A$1973,A663,Paradas!$B$2:$B$1973,B663,Paradas!$C$2:$C$1973,C663)</f>
        <v>93</v>
      </c>
      <c r="I663" s="19" t="n">
        <f aca="false">D663-H663</f>
        <v>387</v>
      </c>
      <c r="J663" s="19" t="n">
        <f aca="false">I663*E663</f>
        <v>3870</v>
      </c>
      <c r="K663" s="16" t="n">
        <f aca="false">IF(D663=0,0,I663/D663)</f>
        <v>0.80625</v>
      </c>
      <c r="L663" s="16" t="n">
        <f aca="false">IF(J663=0,0,F663/J663)</f>
        <v>0.9343669250646</v>
      </c>
      <c r="M663" s="16" t="n">
        <f aca="false">IF(F663=0,0,G663/F663)</f>
        <v>0.955752212389381</v>
      </c>
      <c r="N663" s="16" t="n">
        <f aca="false">K663*L663*M663</f>
        <v>0.72</v>
      </c>
      <c r="O663" s="19" t="n">
        <f aca="false">MONTH(A663)</f>
        <v>9</v>
      </c>
      <c r="P663" s="19" t="n">
        <f aca="false">INT((A663-DATE(2026,7,1))/7)+1</f>
        <v>11</v>
      </c>
    </row>
    <row r="664" customFormat="false" ht="15" hidden="false" customHeight="false" outlineLevel="0" collapsed="false">
      <c r="A664" s="25" t="n">
        <v>46277</v>
      </c>
      <c r="B664" s="26" t="s">
        <v>17</v>
      </c>
      <c r="C664" s="26" t="s">
        <v>74</v>
      </c>
      <c r="D664" s="26" t="n">
        <v>480</v>
      </c>
      <c r="E664" s="26" t="n">
        <v>10</v>
      </c>
      <c r="F664" s="26" t="n">
        <v>2835</v>
      </c>
      <c r="G664" s="26" t="n">
        <v>2679</v>
      </c>
      <c r="H664" s="19" t="n">
        <f aca="false">SUMIFS(Paradas!$E$2:$E$1973,Paradas!$A$2:$A$1973,A664,Paradas!$B$2:$B$1973,B664,Paradas!$C$2:$C$1973,C664)</f>
        <v>131</v>
      </c>
      <c r="I664" s="19" t="n">
        <f aca="false">D664-H664</f>
        <v>349</v>
      </c>
      <c r="J664" s="19" t="n">
        <f aca="false">I664*E664</f>
        <v>3490</v>
      </c>
      <c r="K664" s="16" t="n">
        <f aca="false">IF(D664=0,0,I664/D664)</f>
        <v>0.727083333333333</v>
      </c>
      <c r="L664" s="16" t="n">
        <f aca="false">IF(J664=0,0,F664/J664)</f>
        <v>0.812320916905444</v>
      </c>
      <c r="M664" s="16" t="n">
        <f aca="false">IF(F664=0,0,G664/F664)</f>
        <v>0.944973544973545</v>
      </c>
      <c r="N664" s="16" t="n">
        <f aca="false">K664*L664*M664</f>
        <v>0.558125</v>
      </c>
      <c r="O664" s="19" t="n">
        <f aca="false">MONTH(A664)</f>
        <v>9</v>
      </c>
      <c r="P664" s="19" t="n">
        <f aca="false">INT((A664-DATE(2026,7,1))/7)+1</f>
        <v>11</v>
      </c>
    </row>
    <row r="665" customFormat="false" ht="15" hidden="false" customHeight="false" outlineLevel="0" collapsed="false">
      <c r="A665" s="25" t="n">
        <v>46277</v>
      </c>
      <c r="B665" s="26" t="s">
        <v>18</v>
      </c>
      <c r="C665" s="26" t="s">
        <v>72</v>
      </c>
      <c r="D665" s="26" t="n">
        <v>480</v>
      </c>
      <c r="E665" s="26" t="n">
        <v>8</v>
      </c>
      <c r="F665" s="26" t="n">
        <v>1907</v>
      </c>
      <c r="G665" s="26" t="n">
        <v>1857</v>
      </c>
      <c r="H665" s="19" t="n">
        <f aca="false">SUMIFS(Paradas!$E$2:$E$1973,Paradas!$A$2:$A$1973,A665,Paradas!$B$2:$B$1973,B665,Paradas!$C$2:$C$1973,C665)</f>
        <v>218</v>
      </c>
      <c r="I665" s="19" t="n">
        <f aca="false">D665-H665</f>
        <v>262</v>
      </c>
      <c r="J665" s="19" t="n">
        <f aca="false">I665*E665</f>
        <v>2096</v>
      </c>
      <c r="K665" s="16" t="n">
        <f aca="false">IF(D665=0,0,I665/D665)</f>
        <v>0.545833333333333</v>
      </c>
      <c r="L665" s="16" t="n">
        <f aca="false">IF(J665=0,0,F665/J665)</f>
        <v>0.909828244274809</v>
      </c>
      <c r="M665" s="16" t="n">
        <f aca="false">IF(F665=0,0,G665/F665)</f>
        <v>0.973780807551127</v>
      </c>
      <c r="N665" s="16" t="n">
        <f aca="false">K665*L665*M665</f>
        <v>0.48359375</v>
      </c>
      <c r="O665" s="19" t="n">
        <f aca="false">MONTH(A665)</f>
        <v>9</v>
      </c>
      <c r="P665" s="19" t="n">
        <f aca="false">INT((A665-DATE(2026,7,1))/7)+1</f>
        <v>11</v>
      </c>
    </row>
    <row r="666" customFormat="false" ht="15" hidden="false" customHeight="false" outlineLevel="0" collapsed="false">
      <c r="A666" s="25" t="n">
        <v>46277</v>
      </c>
      <c r="B666" s="26" t="s">
        <v>18</v>
      </c>
      <c r="C666" s="26" t="s">
        <v>73</v>
      </c>
      <c r="D666" s="26" t="n">
        <v>480</v>
      </c>
      <c r="E666" s="26" t="n">
        <v>8</v>
      </c>
      <c r="F666" s="26" t="n">
        <v>2202</v>
      </c>
      <c r="G666" s="26" t="n">
        <v>2160</v>
      </c>
      <c r="H666" s="19" t="n">
        <f aca="false">SUMIFS(Paradas!$E$2:$E$1973,Paradas!$A$2:$A$1973,A666,Paradas!$B$2:$B$1973,B666,Paradas!$C$2:$C$1973,C666)</f>
        <v>171</v>
      </c>
      <c r="I666" s="19" t="n">
        <f aca="false">D666-H666</f>
        <v>309</v>
      </c>
      <c r="J666" s="19" t="n">
        <f aca="false">I666*E666</f>
        <v>2472</v>
      </c>
      <c r="K666" s="16" t="n">
        <f aca="false">IF(D666=0,0,I666/D666)</f>
        <v>0.64375</v>
      </c>
      <c r="L666" s="16" t="n">
        <f aca="false">IF(J666=0,0,F666/J666)</f>
        <v>0.890776699029126</v>
      </c>
      <c r="M666" s="16" t="n">
        <f aca="false">IF(F666=0,0,G666/F666)</f>
        <v>0.980926430517711</v>
      </c>
      <c r="N666" s="16" t="n">
        <f aca="false">K666*L666*M666</f>
        <v>0.5625</v>
      </c>
      <c r="O666" s="19" t="n">
        <f aca="false">MONTH(A666)</f>
        <v>9</v>
      </c>
      <c r="P666" s="19" t="n">
        <f aca="false">INT((A666-DATE(2026,7,1))/7)+1</f>
        <v>11</v>
      </c>
    </row>
    <row r="667" customFormat="false" ht="15" hidden="false" customHeight="false" outlineLevel="0" collapsed="false">
      <c r="A667" s="25" t="n">
        <v>46277</v>
      </c>
      <c r="B667" s="26" t="s">
        <v>18</v>
      </c>
      <c r="C667" s="26" t="s">
        <v>74</v>
      </c>
      <c r="D667" s="26" t="n">
        <v>480</v>
      </c>
      <c r="E667" s="26" t="n">
        <v>8</v>
      </c>
      <c r="F667" s="26" t="n">
        <v>3017</v>
      </c>
      <c r="G667" s="26" t="n">
        <v>2959</v>
      </c>
      <c r="H667" s="19" t="n">
        <f aca="false">SUMIFS(Paradas!$E$2:$E$1973,Paradas!$A$2:$A$1973,A667,Paradas!$B$2:$B$1973,B667,Paradas!$C$2:$C$1973,C667)</f>
        <v>29</v>
      </c>
      <c r="I667" s="19" t="n">
        <f aca="false">D667-H667</f>
        <v>451</v>
      </c>
      <c r="J667" s="19" t="n">
        <f aca="false">I667*E667</f>
        <v>3608</v>
      </c>
      <c r="K667" s="16" t="n">
        <f aca="false">IF(D667=0,0,I667/D667)</f>
        <v>0.939583333333333</v>
      </c>
      <c r="L667" s="16" t="n">
        <f aca="false">IF(J667=0,0,F667/J667)</f>
        <v>0.83619733924612</v>
      </c>
      <c r="M667" s="16" t="n">
        <f aca="false">IF(F667=0,0,G667/F667)</f>
        <v>0.980775604905535</v>
      </c>
      <c r="N667" s="16" t="n">
        <f aca="false">K667*L667*M667</f>
        <v>0.770572916666667</v>
      </c>
      <c r="O667" s="19" t="n">
        <f aca="false">MONTH(A667)</f>
        <v>9</v>
      </c>
      <c r="P667" s="19" t="n">
        <f aca="false">INT((A667-DATE(2026,7,1))/7)+1</f>
        <v>11</v>
      </c>
    </row>
    <row r="668" customFormat="false" ht="15" hidden="false" customHeight="false" outlineLevel="0" collapsed="false">
      <c r="A668" s="25" t="n">
        <v>46278</v>
      </c>
      <c r="B668" s="26" t="s">
        <v>16</v>
      </c>
      <c r="C668" s="26" t="s">
        <v>72</v>
      </c>
      <c r="D668" s="26" t="n">
        <v>480</v>
      </c>
      <c r="E668" s="26" t="n">
        <v>12</v>
      </c>
      <c r="F668" s="26" t="n">
        <v>4985</v>
      </c>
      <c r="G668" s="26" t="n">
        <v>4839</v>
      </c>
      <c r="H668" s="19" t="n">
        <f aca="false">SUMIFS(Paradas!$E$2:$E$1973,Paradas!$A$2:$A$1973,A668,Paradas!$B$2:$B$1973,B668,Paradas!$C$2:$C$1973,C668)</f>
        <v>11</v>
      </c>
      <c r="I668" s="19" t="n">
        <f aca="false">D668-H668</f>
        <v>469</v>
      </c>
      <c r="J668" s="19" t="n">
        <f aca="false">I668*E668</f>
        <v>5628</v>
      </c>
      <c r="K668" s="16" t="n">
        <f aca="false">IF(D668=0,0,I668/D668)</f>
        <v>0.977083333333333</v>
      </c>
      <c r="L668" s="16" t="n">
        <f aca="false">IF(J668=0,0,F668/J668)</f>
        <v>0.885749822316987</v>
      </c>
      <c r="M668" s="16" t="n">
        <f aca="false">IF(F668=0,0,G668/F668)</f>
        <v>0.970712136409228</v>
      </c>
      <c r="N668" s="16" t="n">
        <f aca="false">K668*L668*M668</f>
        <v>0.840104166666667</v>
      </c>
      <c r="O668" s="19" t="n">
        <f aca="false">MONTH(A668)</f>
        <v>9</v>
      </c>
      <c r="P668" s="19" t="n">
        <f aca="false">INT((A668-DATE(2026,7,1))/7)+1</f>
        <v>11</v>
      </c>
    </row>
    <row r="669" customFormat="false" ht="15" hidden="false" customHeight="false" outlineLevel="0" collapsed="false">
      <c r="A669" s="25" t="n">
        <v>46278</v>
      </c>
      <c r="B669" s="26" t="s">
        <v>16</v>
      </c>
      <c r="C669" s="26" t="s">
        <v>73</v>
      </c>
      <c r="D669" s="26" t="n">
        <v>480</v>
      </c>
      <c r="E669" s="26" t="n">
        <v>12</v>
      </c>
      <c r="F669" s="26" t="n">
        <v>4522</v>
      </c>
      <c r="G669" s="26" t="n">
        <v>4407</v>
      </c>
      <c r="H669" s="19" t="n">
        <f aca="false">SUMIFS(Paradas!$E$2:$E$1973,Paradas!$A$2:$A$1973,A669,Paradas!$B$2:$B$1973,B669,Paradas!$C$2:$C$1973,C669)</f>
        <v>53</v>
      </c>
      <c r="I669" s="19" t="n">
        <f aca="false">D669-H669</f>
        <v>427</v>
      </c>
      <c r="J669" s="19" t="n">
        <f aca="false">I669*E669</f>
        <v>5124</v>
      </c>
      <c r="K669" s="16" t="n">
        <f aca="false">IF(D669=0,0,I669/D669)</f>
        <v>0.889583333333333</v>
      </c>
      <c r="L669" s="16" t="n">
        <f aca="false">IF(J669=0,0,F669/J669)</f>
        <v>0.882513661202186</v>
      </c>
      <c r="M669" s="16" t="n">
        <f aca="false">IF(F669=0,0,G669/F669)</f>
        <v>0.974568774878373</v>
      </c>
      <c r="N669" s="16" t="n">
        <f aca="false">K669*L669*M669</f>
        <v>0.765104166666667</v>
      </c>
      <c r="O669" s="19" t="n">
        <f aca="false">MONTH(A669)</f>
        <v>9</v>
      </c>
      <c r="P669" s="19" t="n">
        <f aca="false">INT((A669-DATE(2026,7,1))/7)+1</f>
        <v>11</v>
      </c>
    </row>
    <row r="670" customFormat="false" ht="15" hidden="false" customHeight="false" outlineLevel="0" collapsed="false">
      <c r="A670" s="25" t="n">
        <v>46278</v>
      </c>
      <c r="B670" s="26" t="s">
        <v>16</v>
      </c>
      <c r="C670" s="26" t="s">
        <v>74</v>
      </c>
      <c r="D670" s="26" t="n">
        <v>480</v>
      </c>
      <c r="E670" s="26" t="n">
        <v>12</v>
      </c>
      <c r="F670" s="26" t="n">
        <v>4774</v>
      </c>
      <c r="G670" s="26" t="n">
        <v>4674</v>
      </c>
      <c r="H670" s="19" t="n">
        <f aca="false">SUMIFS(Paradas!$E$2:$E$1973,Paradas!$A$2:$A$1973,A670,Paradas!$B$2:$B$1973,B670,Paradas!$C$2:$C$1973,C670)</f>
        <v>0</v>
      </c>
      <c r="I670" s="19" t="n">
        <f aca="false">D670-H670</f>
        <v>480</v>
      </c>
      <c r="J670" s="19" t="n">
        <f aca="false">I670*E670</f>
        <v>5760</v>
      </c>
      <c r="K670" s="16" t="n">
        <f aca="false">IF(D670=0,0,I670/D670)</f>
        <v>1</v>
      </c>
      <c r="L670" s="16" t="n">
        <f aca="false">IF(J670=0,0,F670/J670)</f>
        <v>0.828819444444444</v>
      </c>
      <c r="M670" s="16" t="n">
        <f aca="false">IF(F670=0,0,G670/F670)</f>
        <v>0.979053204859657</v>
      </c>
      <c r="N670" s="16" t="n">
        <f aca="false">K670*L670*M670</f>
        <v>0.811458333333333</v>
      </c>
      <c r="O670" s="19" t="n">
        <f aca="false">MONTH(A670)</f>
        <v>9</v>
      </c>
      <c r="P670" s="19" t="n">
        <f aca="false">INT((A670-DATE(2026,7,1))/7)+1</f>
        <v>11</v>
      </c>
    </row>
    <row r="671" customFormat="false" ht="15" hidden="false" customHeight="false" outlineLevel="0" collapsed="false">
      <c r="A671" s="25" t="n">
        <v>46278</v>
      </c>
      <c r="B671" s="26" t="s">
        <v>17</v>
      </c>
      <c r="C671" s="26" t="s">
        <v>72</v>
      </c>
      <c r="D671" s="26" t="n">
        <v>480</v>
      </c>
      <c r="E671" s="26" t="n">
        <v>10</v>
      </c>
      <c r="F671" s="26" t="n">
        <v>2471</v>
      </c>
      <c r="G671" s="26" t="n">
        <v>2361</v>
      </c>
      <c r="H671" s="19" t="n">
        <f aca="false">SUMIFS(Paradas!$E$2:$E$1973,Paradas!$A$2:$A$1973,A671,Paradas!$B$2:$B$1973,B671,Paradas!$C$2:$C$1973,C671)</f>
        <v>181</v>
      </c>
      <c r="I671" s="19" t="n">
        <f aca="false">D671-H671</f>
        <v>299</v>
      </c>
      <c r="J671" s="19" t="n">
        <f aca="false">I671*E671</f>
        <v>2990</v>
      </c>
      <c r="K671" s="16" t="n">
        <f aca="false">IF(D671=0,0,I671/D671)</f>
        <v>0.622916666666667</v>
      </c>
      <c r="L671" s="16" t="n">
        <f aca="false">IF(J671=0,0,F671/J671)</f>
        <v>0.826421404682274</v>
      </c>
      <c r="M671" s="16" t="n">
        <f aca="false">IF(F671=0,0,G671/F671)</f>
        <v>0.955483609874545</v>
      </c>
      <c r="N671" s="16" t="n">
        <f aca="false">K671*L671*M671</f>
        <v>0.491875</v>
      </c>
      <c r="O671" s="19" t="n">
        <f aca="false">MONTH(A671)</f>
        <v>9</v>
      </c>
      <c r="P671" s="19" t="n">
        <f aca="false">INT((A671-DATE(2026,7,1))/7)+1</f>
        <v>11</v>
      </c>
    </row>
    <row r="672" customFormat="false" ht="15" hidden="false" customHeight="false" outlineLevel="0" collapsed="false">
      <c r="A672" s="25" t="n">
        <v>46278</v>
      </c>
      <c r="B672" s="26" t="s">
        <v>17</v>
      </c>
      <c r="C672" s="26" t="s">
        <v>73</v>
      </c>
      <c r="D672" s="26" t="n">
        <v>480</v>
      </c>
      <c r="E672" s="26" t="n">
        <v>10</v>
      </c>
      <c r="F672" s="26" t="n">
        <v>3653</v>
      </c>
      <c r="G672" s="26" t="n">
        <v>3504</v>
      </c>
      <c r="H672" s="19" t="n">
        <f aca="false">SUMIFS(Paradas!$E$2:$E$1973,Paradas!$A$2:$A$1973,A672,Paradas!$B$2:$B$1973,B672,Paradas!$C$2:$C$1973,C672)</f>
        <v>53</v>
      </c>
      <c r="I672" s="19" t="n">
        <f aca="false">D672-H672</f>
        <v>427</v>
      </c>
      <c r="J672" s="19" t="n">
        <f aca="false">I672*E672</f>
        <v>4270</v>
      </c>
      <c r="K672" s="16" t="n">
        <f aca="false">IF(D672=0,0,I672/D672)</f>
        <v>0.889583333333333</v>
      </c>
      <c r="L672" s="16" t="n">
        <f aca="false">IF(J672=0,0,F672/J672)</f>
        <v>0.855503512880562</v>
      </c>
      <c r="M672" s="16" t="n">
        <f aca="false">IF(F672=0,0,G672/F672)</f>
        <v>0.95921160689844</v>
      </c>
      <c r="N672" s="16" t="n">
        <f aca="false">K672*L672*M672</f>
        <v>0.73</v>
      </c>
      <c r="O672" s="19" t="n">
        <f aca="false">MONTH(A672)</f>
        <v>9</v>
      </c>
      <c r="P672" s="19" t="n">
        <f aca="false">INT((A672-DATE(2026,7,1))/7)+1</f>
        <v>11</v>
      </c>
    </row>
    <row r="673" customFormat="false" ht="15" hidden="false" customHeight="false" outlineLevel="0" collapsed="false">
      <c r="A673" s="25" t="n">
        <v>46278</v>
      </c>
      <c r="B673" s="26" t="s">
        <v>17</v>
      </c>
      <c r="C673" s="26" t="s">
        <v>74</v>
      </c>
      <c r="D673" s="26" t="n">
        <v>480</v>
      </c>
      <c r="E673" s="26" t="n">
        <v>10</v>
      </c>
      <c r="F673" s="26" t="n">
        <v>3006</v>
      </c>
      <c r="G673" s="26" t="n">
        <v>2895</v>
      </c>
      <c r="H673" s="19" t="n">
        <f aca="false">SUMIFS(Paradas!$E$2:$E$1973,Paradas!$A$2:$A$1973,A673,Paradas!$B$2:$B$1973,B673,Paradas!$C$2:$C$1973,C673)</f>
        <v>124</v>
      </c>
      <c r="I673" s="19" t="n">
        <f aca="false">D673-H673</f>
        <v>356</v>
      </c>
      <c r="J673" s="19" t="n">
        <f aca="false">I673*E673</f>
        <v>3560</v>
      </c>
      <c r="K673" s="16" t="n">
        <f aca="false">IF(D673=0,0,I673/D673)</f>
        <v>0.741666666666667</v>
      </c>
      <c r="L673" s="16" t="n">
        <f aca="false">IF(J673=0,0,F673/J673)</f>
        <v>0.84438202247191</v>
      </c>
      <c r="M673" s="16" t="n">
        <f aca="false">IF(F673=0,0,G673/F673)</f>
        <v>0.963073852295409</v>
      </c>
      <c r="N673" s="16" t="n">
        <f aca="false">K673*L673*M673</f>
        <v>0.603125</v>
      </c>
      <c r="O673" s="19" t="n">
        <f aca="false">MONTH(A673)</f>
        <v>9</v>
      </c>
      <c r="P673" s="19" t="n">
        <f aca="false">INT((A673-DATE(2026,7,1))/7)+1</f>
        <v>11</v>
      </c>
    </row>
    <row r="674" customFormat="false" ht="15" hidden="false" customHeight="false" outlineLevel="0" collapsed="false">
      <c r="A674" s="25" t="n">
        <v>46278</v>
      </c>
      <c r="B674" s="26" t="s">
        <v>18</v>
      </c>
      <c r="C674" s="26" t="s">
        <v>72</v>
      </c>
      <c r="D674" s="26" t="n">
        <v>480</v>
      </c>
      <c r="E674" s="26" t="n">
        <v>8</v>
      </c>
      <c r="F674" s="26" t="n">
        <v>3215</v>
      </c>
      <c r="G674" s="26" t="n">
        <v>3086</v>
      </c>
      <c r="H674" s="19" t="n">
        <f aca="false">SUMIFS(Paradas!$E$2:$E$1973,Paradas!$A$2:$A$1973,A674,Paradas!$B$2:$B$1973,B674,Paradas!$C$2:$C$1973,C674)</f>
        <v>59</v>
      </c>
      <c r="I674" s="19" t="n">
        <f aca="false">D674-H674</f>
        <v>421</v>
      </c>
      <c r="J674" s="19" t="n">
        <f aca="false">I674*E674</f>
        <v>3368</v>
      </c>
      <c r="K674" s="16" t="n">
        <f aca="false">IF(D674=0,0,I674/D674)</f>
        <v>0.877083333333333</v>
      </c>
      <c r="L674" s="16" t="n">
        <f aca="false">IF(J674=0,0,F674/J674)</f>
        <v>0.95457244655582</v>
      </c>
      <c r="M674" s="16" t="n">
        <f aca="false">IF(F674=0,0,G674/F674)</f>
        <v>0.959875583203733</v>
      </c>
      <c r="N674" s="16" t="n">
        <f aca="false">K674*L674*M674</f>
        <v>0.803645833333333</v>
      </c>
      <c r="O674" s="19" t="n">
        <f aca="false">MONTH(A674)</f>
        <v>9</v>
      </c>
      <c r="P674" s="19" t="n">
        <f aca="false">INT((A674-DATE(2026,7,1))/7)+1</f>
        <v>11</v>
      </c>
    </row>
    <row r="675" customFormat="false" ht="15" hidden="false" customHeight="false" outlineLevel="0" collapsed="false">
      <c r="A675" s="25" t="n">
        <v>46278</v>
      </c>
      <c r="B675" s="26" t="s">
        <v>18</v>
      </c>
      <c r="C675" s="26" t="s">
        <v>73</v>
      </c>
      <c r="D675" s="26" t="n">
        <v>480</v>
      </c>
      <c r="E675" s="26" t="n">
        <v>8</v>
      </c>
      <c r="F675" s="26" t="n">
        <v>2517</v>
      </c>
      <c r="G675" s="26" t="n">
        <v>2445</v>
      </c>
      <c r="H675" s="19" t="n">
        <f aca="false">SUMIFS(Paradas!$E$2:$E$1973,Paradas!$A$2:$A$1973,A675,Paradas!$B$2:$B$1973,B675,Paradas!$C$2:$C$1973,C675)</f>
        <v>132</v>
      </c>
      <c r="I675" s="19" t="n">
        <f aca="false">D675-H675</f>
        <v>348</v>
      </c>
      <c r="J675" s="19" t="n">
        <f aca="false">I675*E675</f>
        <v>2784</v>
      </c>
      <c r="K675" s="16" t="n">
        <f aca="false">IF(D675=0,0,I675/D675)</f>
        <v>0.725</v>
      </c>
      <c r="L675" s="16" t="n">
        <f aca="false">IF(J675=0,0,F675/J675)</f>
        <v>0.904094827586207</v>
      </c>
      <c r="M675" s="16" t="n">
        <f aca="false">IF(F675=0,0,G675/F675)</f>
        <v>0.971394517282479</v>
      </c>
      <c r="N675" s="16" t="n">
        <f aca="false">K675*L675*M675</f>
        <v>0.63671875</v>
      </c>
      <c r="O675" s="19" t="n">
        <f aca="false">MONTH(A675)</f>
        <v>9</v>
      </c>
      <c r="P675" s="19" t="n">
        <f aca="false">INT((A675-DATE(2026,7,1))/7)+1</f>
        <v>11</v>
      </c>
    </row>
    <row r="676" customFormat="false" ht="15" hidden="false" customHeight="false" outlineLevel="0" collapsed="false">
      <c r="A676" s="25" t="n">
        <v>46278</v>
      </c>
      <c r="B676" s="26" t="s">
        <v>18</v>
      </c>
      <c r="C676" s="26" t="s">
        <v>74</v>
      </c>
      <c r="D676" s="26" t="n">
        <v>480</v>
      </c>
      <c r="E676" s="26" t="n">
        <v>8</v>
      </c>
      <c r="F676" s="26" t="n">
        <v>2274</v>
      </c>
      <c r="G676" s="26" t="n">
        <v>2180</v>
      </c>
      <c r="H676" s="19" t="n">
        <f aca="false">SUMIFS(Paradas!$E$2:$E$1973,Paradas!$A$2:$A$1973,A676,Paradas!$B$2:$B$1973,B676,Paradas!$C$2:$C$1973,C676)</f>
        <v>157</v>
      </c>
      <c r="I676" s="19" t="n">
        <f aca="false">D676-H676</f>
        <v>323</v>
      </c>
      <c r="J676" s="19" t="n">
        <f aca="false">I676*E676</f>
        <v>2584</v>
      </c>
      <c r="K676" s="16" t="n">
        <f aca="false">IF(D676=0,0,I676/D676)</f>
        <v>0.672916666666667</v>
      </c>
      <c r="L676" s="16" t="n">
        <f aca="false">IF(J676=0,0,F676/J676)</f>
        <v>0.880030959752322</v>
      </c>
      <c r="M676" s="16" t="n">
        <f aca="false">IF(F676=0,0,G676/F676)</f>
        <v>0.958663148636763</v>
      </c>
      <c r="N676" s="16" t="n">
        <f aca="false">K676*L676*M676</f>
        <v>0.567708333333333</v>
      </c>
      <c r="O676" s="19" t="n">
        <f aca="false">MONTH(A676)</f>
        <v>9</v>
      </c>
      <c r="P676" s="19" t="n">
        <f aca="false">INT((A676-DATE(2026,7,1))/7)+1</f>
        <v>11</v>
      </c>
    </row>
    <row r="677" customFormat="false" ht="15" hidden="false" customHeight="false" outlineLevel="0" collapsed="false">
      <c r="A677" s="25" t="n">
        <v>46279</v>
      </c>
      <c r="B677" s="26" t="s">
        <v>16</v>
      </c>
      <c r="C677" s="26" t="s">
        <v>72</v>
      </c>
      <c r="D677" s="26" t="n">
        <v>480</v>
      </c>
      <c r="E677" s="26" t="n">
        <v>12</v>
      </c>
      <c r="F677" s="26" t="n">
        <v>4260</v>
      </c>
      <c r="G677" s="26" t="n">
        <v>4101</v>
      </c>
      <c r="H677" s="19" t="n">
        <f aca="false">SUMIFS(Paradas!$E$2:$E$1973,Paradas!$A$2:$A$1973,A677,Paradas!$B$2:$B$1973,B677,Paradas!$C$2:$C$1973,C677)</f>
        <v>81</v>
      </c>
      <c r="I677" s="19" t="n">
        <f aca="false">D677-H677</f>
        <v>399</v>
      </c>
      <c r="J677" s="19" t="n">
        <f aca="false">I677*E677</f>
        <v>4788</v>
      </c>
      <c r="K677" s="16" t="n">
        <f aca="false">IF(D677=0,0,I677/D677)</f>
        <v>0.83125</v>
      </c>
      <c r="L677" s="16" t="n">
        <f aca="false">IF(J677=0,0,F677/J677)</f>
        <v>0.889724310776942</v>
      </c>
      <c r="M677" s="16" t="n">
        <f aca="false">IF(F677=0,0,G677/F677)</f>
        <v>0.962676056338028</v>
      </c>
      <c r="N677" s="16" t="n">
        <f aca="false">K677*L677*M677</f>
        <v>0.711979166666667</v>
      </c>
      <c r="O677" s="19" t="n">
        <f aca="false">MONTH(A677)</f>
        <v>9</v>
      </c>
      <c r="P677" s="19" t="n">
        <f aca="false">INT((A677-DATE(2026,7,1))/7)+1</f>
        <v>11</v>
      </c>
    </row>
    <row r="678" customFormat="false" ht="15" hidden="false" customHeight="false" outlineLevel="0" collapsed="false">
      <c r="A678" s="25" t="n">
        <v>46279</v>
      </c>
      <c r="B678" s="26" t="s">
        <v>16</v>
      </c>
      <c r="C678" s="26" t="s">
        <v>73</v>
      </c>
      <c r="D678" s="26" t="n">
        <v>480</v>
      </c>
      <c r="E678" s="26" t="n">
        <v>12</v>
      </c>
      <c r="F678" s="26" t="n">
        <v>5265</v>
      </c>
      <c r="G678" s="26" t="n">
        <v>5155</v>
      </c>
      <c r="H678" s="19" t="n">
        <f aca="false">SUMIFS(Paradas!$E$2:$E$1973,Paradas!$A$2:$A$1973,A678,Paradas!$B$2:$B$1973,B678,Paradas!$C$2:$C$1973,C678)</f>
        <v>0</v>
      </c>
      <c r="I678" s="19" t="n">
        <f aca="false">D678-H678</f>
        <v>480</v>
      </c>
      <c r="J678" s="19" t="n">
        <f aca="false">I678*E678</f>
        <v>5760</v>
      </c>
      <c r="K678" s="16" t="n">
        <f aca="false">IF(D678=0,0,I678/D678)</f>
        <v>1</v>
      </c>
      <c r="L678" s="16" t="n">
        <f aca="false">IF(J678=0,0,F678/J678)</f>
        <v>0.9140625</v>
      </c>
      <c r="M678" s="16" t="n">
        <f aca="false">IF(F678=0,0,G678/F678)</f>
        <v>0.979107312440646</v>
      </c>
      <c r="N678" s="16" t="n">
        <f aca="false">K678*L678*M678</f>
        <v>0.894965277777778</v>
      </c>
      <c r="O678" s="19" t="n">
        <f aca="false">MONTH(A678)</f>
        <v>9</v>
      </c>
      <c r="P678" s="19" t="n">
        <f aca="false">INT((A678-DATE(2026,7,1))/7)+1</f>
        <v>11</v>
      </c>
    </row>
    <row r="679" customFormat="false" ht="15" hidden="false" customHeight="false" outlineLevel="0" collapsed="false">
      <c r="A679" s="25" t="n">
        <v>46279</v>
      </c>
      <c r="B679" s="26" t="s">
        <v>16</v>
      </c>
      <c r="C679" s="26" t="s">
        <v>74</v>
      </c>
      <c r="D679" s="26" t="n">
        <v>480</v>
      </c>
      <c r="E679" s="26" t="n">
        <v>12</v>
      </c>
      <c r="F679" s="26" t="n">
        <v>4076</v>
      </c>
      <c r="G679" s="26" t="n">
        <v>3985</v>
      </c>
      <c r="H679" s="19" t="n">
        <f aca="false">SUMIFS(Paradas!$E$2:$E$1973,Paradas!$A$2:$A$1973,A679,Paradas!$B$2:$B$1973,B679,Paradas!$C$2:$C$1973,C679)</f>
        <v>102</v>
      </c>
      <c r="I679" s="19" t="n">
        <f aca="false">D679-H679</f>
        <v>378</v>
      </c>
      <c r="J679" s="19" t="n">
        <f aca="false">I679*E679</f>
        <v>4536</v>
      </c>
      <c r="K679" s="16" t="n">
        <f aca="false">IF(D679=0,0,I679/D679)</f>
        <v>0.7875</v>
      </c>
      <c r="L679" s="16" t="n">
        <f aca="false">IF(J679=0,0,F679/J679)</f>
        <v>0.898589065255732</v>
      </c>
      <c r="M679" s="16" t="n">
        <f aca="false">IF(F679=0,0,G679/F679)</f>
        <v>0.977674190382728</v>
      </c>
      <c r="N679" s="16" t="n">
        <f aca="false">K679*L679*M679</f>
        <v>0.691840277777778</v>
      </c>
      <c r="O679" s="19" t="n">
        <f aca="false">MONTH(A679)</f>
        <v>9</v>
      </c>
      <c r="P679" s="19" t="n">
        <f aca="false">INT((A679-DATE(2026,7,1))/7)+1</f>
        <v>11</v>
      </c>
    </row>
    <row r="680" customFormat="false" ht="15" hidden="false" customHeight="false" outlineLevel="0" collapsed="false">
      <c r="A680" s="25" t="n">
        <v>46279</v>
      </c>
      <c r="B680" s="26" t="s">
        <v>17</v>
      </c>
      <c r="C680" s="26" t="s">
        <v>72</v>
      </c>
      <c r="D680" s="26" t="n">
        <v>480</v>
      </c>
      <c r="E680" s="26" t="n">
        <v>10</v>
      </c>
      <c r="F680" s="26" t="n">
        <v>3318</v>
      </c>
      <c r="G680" s="26" t="n">
        <v>3169</v>
      </c>
      <c r="H680" s="19" t="n">
        <f aca="false">SUMIFS(Paradas!$E$2:$E$1973,Paradas!$A$2:$A$1973,A680,Paradas!$B$2:$B$1973,B680,Paradas!$C$2:$C$1973,C680)</f>
        <v>104</v>
      </c>
      <c r="I680" s="19" t="n">
        <f aca="false">D680-H680</f>
        <v>376</v>
      </c>
      <c r="J680" s="19" t="n">
        <f aca="false">I680*E680</f>
        <v>3760</v>
      </c>
      <c r="K680" s="16" t="n">
        <f aca="false">IF(D680=0,0,I680/D680)</f>
        <v>0.783333333333333</v>
      </c>
      <c r="L680" s="16" t="n">
        <f aca="false">IF(J680=0,0,F680/J680)</f>
        <v>0.882446808510638</v>
      </c>
      <c r="M680" s="16" t="n">
        <f aca="false">IF(F680=0,0,G680/F680)</f>
        <v>0.955093429776974</v>
      </c>
      <c r="N680" s="16" t="n">
        <f aca="false">K680*L680*M680</f>
        <v>0.660208333333333</v>
      </c>
      <c r="O680" s="19" t="n">
        <f aca="false">MONTH(A680)</f>
        <v>9</v>
      </c>
      <c r="P680" s="19" t="n">
        <f aca="false">INT((A680-DATE(2026,7,1))/7)+1</f>
        <v>11</v>
      </c>
    </row>
    <row r="681" customFormat="false" ht="15" hidden="false" customHeight="false" outlineLevel="0" collapsed="false">
      <c r="A681" s="25" t="n">
        <v>46279</v>
      </c>
      <c r="B681" s="26" t="s">
        <v>17</v>
      </c>
      <c r="C681" s="26" t="s">
        <v>73</v>
      </c>
      <c r="D681" s="26" t="n">
        <v>480</v>
      </c>
      <c r="E681" s="26" t="n">
        <v>10</v>
      </c>
      <c r="F681" s="26" t="n">
        <v>3834</v>
      </c>
      <c r="G681" s="26" t="n">
        <v>3639</v>
      </c>
      <c r="H681" s="19" t="n">
        <f aca="false">SUMIFS(Paradas!$E$2:$E$1973,Paradas!$A$2:$A$1973,A681,Paradas!$B$2:$B$1973,B681,Paradas!$C$2:$C$1973,C681)</f>
        <v>34</v>
      </c>
      <c r="I681" s="19" t="n">
        <f aca="false">D681-H681</f>
        <v>446</v>
      </c>
      <c r="J681" s="19" t="n">
        <f aca="false">I681*E681</f>
        <v>4460</v>
      </c>
      <c r="K681" s="16" t="n">
        <f aca="false">IF(D681=0,0,I681/D681)</f>
        <v>0.929166666666667</v>
      </c>
      <c r="L681" s="16" t="n">
        <f aca="false">IF(J681=0,0,F681/J681)</f>
        <v>0.859641255605381</v>
      </c>
      <c r="M681" s="16" t="n">
        <f aca="false">IF(F681=0,0,G681/F681)</f>
        <v>0.949139280125196</v>
      </c>
      <c r="N681" s="16" t="n">
        <f aca="false">K681*L681*M681</f>
        <v>0.758125</v>
      </c>
      <c r="O681" s="19" t="n">
        <f aca="false">MONTH(A681)</f>
        <v>9</v>
      </c>
      <c r="P681" s="19" t="n">
        <f aca="false">INT((A681-DATE(2026,7,1))/7)+1</f>
        <v>11</v>
      </c>
    </row>
    <row r="682" customFormat="false" ht="15" hidden="false" customHeight="false" outlineLevel="0" collapsed="false">
      <c r="A682" s="25" t="n">
        <v>46279</v>
      </c>
      <c r="B682" s="26" t="s">
        <v>17</v>
      </c>
      <c r="C682" s="26" t="s">
        <v>74</v>
      </c>
      <c r="D682" s="26" t="n">
        <v>480</v>
      </c>
      <c r="E682" s="26" t="n">
        <v>10</v>
      </c>
      <c r="F682" s="26" t="n">
        <v>3123</v>
      </c>
      <c r="G682" s="26" t="n">
        <v>2996</v>
      </c>
      <c r="H682" s="19" t="n">
        <f aca="false">SUMIFS(Paradas!$E$2:$E$1973,Paradas!$A$2:$A$1973,A682,Paradas!$B$2:$B$1973,B682,Paradas!$C$2:$C$1973,C682)</f>
        <v>119</v>
      </c>
      <c r="I682" s="19" t="n">
        <f aca="false">D682-H682</f>
        <v>361</v>
      </c>
      <c r="J682" s="19" t="n">
        <f aca="false">I682*E682</f>
        <v>3610</v>
      </c>
      <c r="K682" s="16" t="n">
        <f aca="false">IF(D682=0,0,I682/D682)</f>
        <v>0.752083333333333</v>
      </c>
      <c r="L682" s="16" t="n">
        <f aca="false">IF(J682=0,0,F682/J682)</f>
        <v>0.865096952908587</v>
      </c>
      <c r="M682" s="16" t="n">
        <f aca="false">IF(F682=0,0,G682/F682)</f>
        <v>0.959333973743196</v>
      </c>
      <c r="N682" s="16" t="n">
        <f aca="false">K682*L682*M682</f>
        <v>0.624166666666667</v>
      </c>
      <c r="O682" s="19" t="n">
        <f aca="false">MONTH(A682)</f>
        <v>9</v>
      </c>
      <c r="P682" s="19" t="n">
        <f aca="false">INT((A682-DATE(2026,7,1))/7)+1</f>
        <v>11</v>
      </c>
    </row>
    <row r="683" customFormat="false" ht="15" hidden="false" customHeight="false" outlineLevel="0" collapsed="false">
      <c r="A683" s="25" t="n">
        <v>46279</v>
      </c>
      <c r="B683" s="26" t="s">
        <v>18</v>
      </c>
      <c r="C683" s="26" t="s">
        <v>72</v>
      </c>
      <c r="D683" s="26" t="n">
        <v>480</v>
      </c>
      <c r="E683" s="26" t="n">
        <v>8</v>
      </c>
      <c r="F683" s="26" t="n">
        <v>2400</v>
      </c>
      <c r="G683" s="26" t="n">
        <v>2315</v>
      </c>
      <c r="H683" s="19" t="n">
        <f aca="false">SUMIFS(Paradas!$E$2:$E$1973,Paradas!$A$2:$A$1973,A683,Paradas!$B$2:$B$1973,B683,Paradas!$C$2:$C$1973,C683)</f>
        <v>146</v>
      </c>
      <c r="I683" s="19" t="n">
        <f aca="false">D683-H683</f>
        <v>334</v>
      </c>
      <c r="J683" s="19" t="n">
        <f aca="false">I683*E683</f>
        <v>2672</v>
      </c>
      <c r="K683" s="16" t="n">
        <f aca="false">IF(D683=0,0,I683/D683)</f>
        <v>0.695833333333333</v>
      </c>
      <c r="L683" s="16" t="n">
        <f aca="false">IF(J683=0,0,F683/J683)</f>
        <v>0.898203592814371</v>
      </c>
      <c r="M683" s="16" t="n">
        <f aca="false">IF(F683=0,0,G683/F683)</f>
        <v>0.964583333333333</v>
      </c>
      <c r="N683" s="16" t="n">
        <f aca="false">K683*L683*M683</f>
        <v>0.602864583333333</v>
      </c>
      <c r="O683" s="19" t="n">
        <f aca="false">MONTH(A683)</f>
        <v>9</v>
      </c>
      <c r="P683" s="19" t="n">
        <f aca="false">INT((A683-DATE(2026,7,1))/7)+1</f>
        <v>11</v>
      </c>
    </row>
    <row r="684" customFormat="false" ht="15" hidden="false" customHeight="false" outlineLevel="0" collapsed="false">
      <c r="A684" s="25" t="n">
        <v>46279</v>
      </c>
      <c r="B684" s="26" t="s">
        <v>18</v>
      </c>
      <c r="C684" s="26" t="s">
        <v>73</v>
      </c>
      <c r="D684" s="26" t="n">
        <v>480</v>
      </c>
      <c r="E684" s="26" t="n">
        <v>8</v>
      </c>
      <c r="F684" s="26" t="n">
        <v>3001</v>
      </c>
      <c r="G684" s="26" t="n">
        <v>2959</v>
      </c>
      <c r="H684" s="19" t="n">
        <f aca="false">SUMIFS(Paradas!$E$2:$E$1973,Paradas!$A$2:$A$1973,A684,Paradas!$B$2:$B$1973,B684,Paradas!$C$2:$C$1973,C684)</f>
        <v>85</v>
      </c>
      <c r="I684" s="19" t="n">
        <f aca="false">D684-H684</f>
        <v>395</v>
      </c>
      <c r="J684" s="19" t="n">
        <f aca="false">I684*E684</f>
        <v>3160</v>
      </c>
      <c r="K684" s="16" t="n">
        <f aca="false">IF(D684=0,0,I684/D684)</f>
        <v>0.822916666666667</v>
      </c>
      <c r="L684" s="16" t="n">
        <f aca="false">IF(J684=0,0,F684/J684)</f>
        <v>0.949683544303797</v>
      </c>
      <c r="M684" s="16" t="n">
        <f aca="false">IF(F684=0,0,G684/F684)</f>
        <v>0.986004665111629</v>
      </c>
      <c r="N684" s="16" t="n">
        <f aca="false">K684*L684*M684</f>
        <v>0.770572916666667</v>
      </c>
      <c r="O684" s="19" t="n">
        <f aca="false">MONTH(A684)</f>
        <v>9</v>
      </c>
      <c r="P684" s="19" t="n">
        <f aca="false">INT((A684-DATE(2026,7,1))/7)+1</f>
        <v>11</v>
      </c>
    </row>
    <row r="685" customFormat="false" ht="15" hidden="false" customHeight="false" outlineLevel="0" collapsed="false">
      <c r="A685" s="25" t="n">
        <v>46279</v>
      </c>
      <c r="B685" s="26" t="s">
        <v>18</v>
      </c>
      <c r="C685" s="26" t="s">
        <v>74</v>
      </c>
      <c r="D685" s="26" t="n">
        <v>480</v>
      </c>
      <c r="E685" s="26" t="n">
        <v>8</v>
      </c>
      <c r="F685" s="26" t="n">
        <v>2555</v>
      </c>
      <c r="G685" s="26" t="n">
        <v>2443</v>
      </c>
      <c r="H685" s="19" t="n">
        <f aca="false">SUMIFS(Paradas!$E$2:$E$1973,Paradas!$A$2:$A$1973,A685,Paradas!$B$2:$B$1973,B685,Paradas!$C$2:$C$1973,C685)</f>
        <v>100</v>
      </c>
      <c r="I685" s="19" t="n">
        <f aca="false">D685-H685</f>
        <v>380</v>
      </c>
      <c r="J685" s="19" t="n">
        <f aca="false">I685*E685</f>
        <v>3040</v>
      </c>
      <c r="K685" s="16" t="n">
        <f aca="false">IF(D685=0,0,I685/D685)</f>
        <v>0.791666666666667</v>
      </c>
      <c r="L685" s="16" t="n">
        <f aca="false">IF(J685=0,0,F685/J685)</f>
        <v>0.84046052631579</v>
      </c>
      <c r="M685" s="16" t="n">
        <f aca="false">IF(F685=0,0,G685/F685)</f>
        <v>0.956164383561644</v>
      </c>
      <c r="N685" s="16" t="n">
        <f aca="false">K685*L685*M685</f>
        <v>0.636197916666667</v>
      </c>
      <c r="O685" s="19" t="n">
        <f aca="false">MONTH(A685)</f>
        <v>9</v>
      </c>
      <c r="P685" s="19" t="n">
        <f aca="false">INT((A685-DATE(2026,7,1))/7)+1</f>
        <v>11</v>
      </c>
    </row>
    <row r="686" customFormat="false" ht="15" hidden="false" customHeight="false" outlineLevel="0" collapsed="false">
      <c r="A686" s="25" t="n">
        <v>46280</v>
      </c>
      <c r="B686" s="26" t="s">
        <v>16</v>
      </c>
      <c r="C686" s="26" t="s">
        <v>72</v>
      </c>
      <c r="D686" s="26" t="n">
        <v>480</v>
      </c>
      <c r="E686" s="26" t="n">
        <v>12</v>
      </c>
      <c r="F686" s="26" t="n">
        <v>4670</v>
      </c>
      <c r="G686" s="26" t="n">
        <v>4608</v>
      </c>
      <c r="H686" s="19" t="n">
        <f aca="false">SUMIFS(Paradas!$E$2:$E$1973,Paradas!$A$2:$A$1973,A686,Paradas!$B$2:$B$1973,B686,Paradas!$C$2:$C$1973,C686)</f>
        <v>55</v>
      </c>
      <c r="I686" s="19" t="n">
        <f aca="false">D686-H686</f>
        <v>425</v>
      </c>
      <c r="J686" s="19" t="n">
        <f aca="false">I686*E686</f>
        <v>5100</v>
      </c>
      <c r="K686" s="16" t="n">
        <f aca="false">IF(D686=0,0,I686/D686)</f>
        <v>0.885416666666667</v>
      </c>
      <c r="L686" s="16" t="n">
        <f aca="false">IF(J686=0,0,F686/J686)</f>
        <v>0.915686274509804</v>
      </c>
      <c r="M686" s="16" t="n">
        <f aca="false">IF(F686=0,0,G686/F686)</f>
        <v>0.986723768736617</v>
      </c>
      <c r="N686" s="16" t="n">
        <f aca="false">K686*L686*M686</f>
        <v>0.8</v>
      </c>
      <c r="O686" s="19" t="n">
        <f aca="false">MONTH(A686)</f>
        <v>9</v>
      </c>
      <c r="P686" s="19" t="n">
        <f aca="false">INT((A686-DATE(2026,7,1))/7)+1</f>
        <v>11</v>
      </c>
    </row>
    <row r="687" customFormat="false" ht="15" hidden="false" customHeight="false" outlineLevel="0" collapsed="false">
      <c r="A687" s="25" t="n">
        <v>46280</v>
      </c>
      <c r="B687" s="26" t="s">
        <v>16</v>
      </c>
      <c r="C687" s="26" t="s">
        <v>73</v>
      </c>
      <c r="D687" s="26" t="n">
        <v>480</v>
      </c>
      <c r="E687" s="26" t="n">
        <v>12</v>
      </c>
      <c r="F687" s="26" t="n">
        <v>4647</v>
      </c>
      <c r="G687" s="26" t="n">
        <v>4495</v>
      </c>
      <c r="H687" s="19" t="n">
        <f aca="false">SUMIFS(Paradas!$E$2:$E$1973,Paradas!$A$2:$A$1973,A687,Paradas!$B$2:$B$1973,B687,Paradas!$C$2:$C$1973,C687)</f>
        <v>43</v>
      </c>
      <c r="I687" s="19" t="n">
        <f aca="false">D687-H687</f>
        <v>437</v>
      </c>
      <c r="J687" s="19" t="n">
        <f aca="false">I687*E687</f>
        <v>5244</v>
      </c>
      <c r="K687" s="16" t="n">
        <f aca="false">IF(D687=0,0,I687/D687)</f>
        <v>0.910416666666667</v>
      </c>
      <c r="L687" s="16" t="n">
        <f aca="false">IF(J687=0,0,F687/J687)</f>
        <v>0.886155606407323</v>
      </c>
      <c r="M687" s="16" t="n">
        <f aca="false">IF(F687=0,0,G687/F687)</f>
        <v>0.967290725199053</v>
      </c>
      <c r="N687" s="16" t="n">
        <f aca="false">K687*L687*M687</f>
        <v>0.780381944444444</v>
      </c>
      <c r="O687" s="19" t="n">
        <f aca="false">MONTH(A687)</f>
        <v>9</v>
      </c>
      <c r="P687" s="19" t="n">
        <f aca="false">INT((A687-DATE(2026,7,1))/7)+1</f>
        <v>11</v>
      </c>
    </row>
    <row r="688" customFormat="false" ht="15" hidden="false" customHeight="false" outlineLevel="0" collapsed="false">
      <c r="A688" s="25" t="n">
        <v>46280</v>
      </c>
      <c r="B688" s="26" t="s">
        <v>16</v>
      </c>
      <c r="C688" s="26" t="s">
        <v>74</v>
      </c>
      <c r="D688" s="26" t="n">
        <v>480</v>
      </c>
      <c r="E688" s="26" t="n">
        <v>12</v>
      </c>
      <c r="F688" s="26" t="n">
        <v>4626</v>
      </c>
      <c r="G688" s="26" t="n">
        <v>4577</v>
      </c>
      <c r="H688" s="19" t="n">
        <f aca="false">SUMIFS(Paradas!$E$2:$E$1973,Paradas!$A$2:$A$1973,A688,Paradas!$B$2:$B$1973,B688,Paradas!$C$2:$C$1973,C688)</f>
        <v>0</v>
      </c>
      <c r="I688" s="19" t="n">
        <f aca="false">D688-H688</f>
        <v>480</v>
      </c>
      <c r="J688" s="19" t="n">
        <f aca="false">I688*E688</f>
        <v>5760</v>
      </c>
      <c r="K688" s="16" t="n">
        <f aca="false">IF(D688=0,0,I688/D688)</f>
        <v>1</v>
      </c>
      <c r="L688" s="16" t="n">
        <f aca="false">IF(J688=0,0,F688/J688)</f>
        <v>0.803125</v>
      </c>
      <c r="M688" s="16" t="n">
        <f aca="false">IF(F688=0,0,G688/F688)</f>
        <v>0.989407695633377</v>
      </c>
      <c r="N688" s="16" t="n">
        <f aca="false">K688*L688*M688</f>
        <v>0.794618055555556</v>
      </c>
      <c r="O688" s="19" t="n">
        <f aca="false">MONTH(A688)</f>
        <v>9</v>
      </c>
      <c r="P688" s="19" t="n">
        <f aca="false">INT((A688-DATE(2026,7,1))/7)+1</f>
        <v>11</v>
      </c>
    </row>
    <row r="689" customFormat="false" ht="15" hidden="false" customHeight="false" outlineLevel="0" collapsed="false">
      <c r="A689" s="25" t="n">
        <v>46280</v>
      </c>
      <c r="B689" s="26" t="s">
        <v>17</v>
      </c>
      <c r="C689" s="26" t="s">
        <v>72</v>
      </c>
      <c r="D689" s="26" t="n">
        <v>480</v>
      </c>
      <c r="E689" s="26" t="n">
        <v>10</v>
      </c>
      <c r="F689" s="26" t="n">
        <v>2974</v>
      </c>
      <c r="G689" s="26" t="n">
        <v>2872</v>
      </c>
      <c r="H689" s="19" t="n">
        <f aca="false">SUMIFS(Paradas!$E$2:$E$1973,Paradas!$A$2:$A$1973,A689,Paradas!$B$2:$B$1973,B689,Paradas!$C$2:$C$1973,C689)</f>
        <v>147</v>
      </c>
      <c r="I689" s="19" t="n">
        <f aca="false">D689-H689</f>
        <v>333</v>
      </c>
      <c r="J689" s="19" t="n">
        <f aca="false">I689*E689</f>
        <v>3330</v>
      </c>
      <c r="K689" s="16" t="n">
        <f aca="false">IF(D689=0,0,I689/D689)</f>
        <v>0.69375</v>
      </c>
      <c r="L689" s="16" t="n">
        <f aca="false">IF(J689=0,0,F689/J689)</f>
        <v>0.893093093093093</v>
      </c>
      <c r="M689" s="16" t="n">
        <f aca="false">IF(F689=0,0,G689/F689)</f>
        <v>0.965702757229321</v>
      </c>
      <c r="N689" s="16" t="n">
        <f aca="false">K689*L689*M689</f>
        <v>0.598333333333333</v>
      </c>
      <c r="O689" s="19" t="n">
        <f aca="false">MONTH(A689)</f>
        <v>9</v>
      </c>
      <c r="P689" s="19" t="n">
        <f aca="false">INT((A689-DATE(2026,7,1))/7)+1</f>
        <v>11</v>
      </c>
    </row>
    <row r="690" customFormat="false" ht="15" hidden="false" customHeight="false" outlineLevel="0" collapsed="false">
      <c r="A690" s="25" t="n">
        <v>46280</v>
      </c>
      <c r="B690" s="26" t="s">
        <v>17</v>
      </c>
      <c r="C690" s="26" t="s">
        <v>73</v>
      </c>
      <c r="D690" s="26" t="n">
        <v>480</v>
      </c>
      <c r="E690" s="26" t="n">
        <v>10</v>
      </c>
      <c r="F690" s="26" t="n">
        <v>2582</v>
      </c>
      <c r="G690" s="26" t="n">
        <v>2471</v>
      </c>
      <c r="H690" s="19" t="n">
        <f aca="false">SUMIFS(Paradas!$E$2:$E$1973,Paradas!$A$2:$A$1973,A690,Paradas!$B$2:$B$1973,B690,Paradas!$C$2:$C$1973,C690)</f>
        <v>173</v>
      </c>
      <c r="I690" s="19" t="n">
        <f aca="false">D690-H690</f>
        <v>307</v>
      </c>
      <c r="J690" s="19" t="n">
        <f aca="false">I690*E690</f>
        <v>3070</v>
      </c>
      <c r="K690" s="16" t="n">
        <f aca="false">IF(D690=0,0,I690/D690)</f>
        <v>0.639583333333333</v>
      </c>
      <c r="L690" s="16" t="n">
        <f aca="false">IF(J690=0,0,F690/J690)</f>
        <v>0.841042345276873</v>
      </c>
      <c r="M690" s="16" t="n">
        <f aca="false">IF(F690=0,0,G690/F690)</f>
        <v>0.9570100697134</v>
      </c>
      <c r="N690" s="16" t="n">
        <f aca="false">K690*L690*M690</f>
        <v>0.514791666666667</v>
      </c>
      <c r="O690" s="19" t="n">
        <f aca="false">MONTH(A690)</f>
        <v>9</v>
      </c>
      <c r="P690" s="19" t="n">
        <f aca="false">INT((A690-DATE(2026,7,1))/7)+1</f>
        <v>11</v>
      </c>
    </row>
    <row r="691" customFormat="false" ht="15" hidden="false" customHeight="false" outlineLevel="0" collapsed="false">
      <c r="A691" s="25" t="n">
        <v>46280</v>
      </c>
      <c r="B691" s="26" t="s">
        <v>17</v>
      </c>
      <c r="C691" s="26" t="s">
        <v>74</v>
      </c>
      <c r="D691" s="26" t="n">
        <v>480</v>
      </c>
      <c r="E691" s="26" t="n">
        <v>10</v>
      </c>
      <c r="F691" s="26" t="n">
        <v>2892</v>
      </c>
      <c r="G691" s="26" t="n">
        <v>2737</v>
      </c>
      <c r="H691" s="19" t="n">
        <f aca="false">SUMIFS(Paradas!$E$2:$E$1973,Paradas!$A$2:$A$1973,A691,Paradas!$B$2:$B$1973,B691,Paradas!$C$2:$C$1973,C691)</f>
        <v>121</v>
      </c>
      <c r="I691" s="19" t="n">
        <f aca="false">D691-H691</f>
        <v>359</v>
      </c>
      <c r="J691" s="19" t="n">
        <f aca="false">I691*E691</f>
        <v>3590</v>
      </c>
      <c r="K691" s="16" t="n">
        <f aca="false">IF(D691=0,0,I691/D691)</f>
        <v>0.747916666666667</v>
      </c>
      <c r="L691" s="16" t="n">
        <f aca="false">IF(J691=0,0,F691/J691)</f>
        <v>0.805571030640669</v>
      </c>
      <c r="M691" s="16" t="n">
        <f aca="false">IF(F691=0,0,G691/F691)</f>
        <v>0.94640387275242</v>
      </c>
      <c r="N691" s="16" t="n">
        <f aca="false">K691*L691*M691</f>
        <v>0.570208333333333</v>
      </c>
      <c r="O691" s="19" t="n">
        <f aca="false">MONTH(A691)</f>
        <v>9</v>
      </c>
      <c r="P691" s="19" t="n">
        <f aca="false">INT((A691-DATE(2026,7,1))/7)+1</f>
        <v>11</v>
      </c>
    </row>
    <row r="692" customFormat="false" ht="15" hidden="false" customHeight="false" outlineLevel="0" collapsed="false">
      <c r="A692" s="25" t="n">
        <v>46280</v>
      </c>
      <c r="B692" s="26" t="s">
        <v>18</v>
      </c>
      <c r="C692" s="26" t="s">
        <v>72</v>
      </c>
      <c r="D692" s="26" t="n">
        <v>480</v>
      </c>
      <c r="E692" s="26" t="n">
        <v>8</v>
      </c>
      <c r="F692" s="26" t="n">
        <v>3239</v>
      </c>
      <c r="G692" s="26" t="n">
        <v>3193</v>
      </c>
      <c r="H692" s="19" t="n">
        <f aca="false">SUMIFS(Paradas!$E$2:$E$1973,Paradas!$A$2:$A$1973,A692,Paradas!$B$2:$B$1973,B692,Paradas!$C$2:$C$1973,C692)</f>
        <v>24</v>
      </c>
      <c r="I692" s="19" t="n">
        <f aca="false">D692-H692</f>
        <v>456</v>
      </c>
      <c r="J692" s="19" t="n">
        <f aca="false">I692*E692</f>
        <v>3648</v>
      </c>
      <c r="K692" s="16" t="n">
        <f aca="false">IF(D692=0,0,I692/D692)</f>
        <v>0.95</v>
      </c>
      <c r="L692" s="16" t="n">
        <f aca="false">IF(J692=0,0,F692/J692)</f>
        <v>0.887883771929825</v>
      </c>
      <c r="M692" s="16" t="n">
        <f aca="false">IF(F692=0,0,G692/F692)</f>
        <v>0.98579808582896</v>
      </c>
      <c r="N692" s="16" t="n">
        <f aca="false">K692*L692*M692</f>
        <v>0.831510416666667</v>
      </c>
      <c r="O692" s="19" t="n">
        <f aca="false">MONTH(A692)</f>
        <v>9</v>
      </c>
      <c r="P692" s="19" t="n">
        <f aca="false">INT((A692-DATE(2026,7,1))/7)+1</f>
        <v>11</v>
      </c>
    </row>
    <row r="693" customFormat="false" ht="15" hidden="false" customHeight="false" outlineLevel="0" collapsed="false">
      <c r="A693" s="25" t="n">
        <v>46280</v>
      </c>
      <c r="B693" s="26" t="s">
        <v>18</v>
      </c>
      <c r="C693" s="26" t="s">
        <v>73</v>
      </c>
      <c r="D693" s="26" t="n">
        <v>480</v>
      </c>
      <c r="E693" s="26" t="n">
        <v>8</v>
      </c>
      <c r="F693" s="26" t="n">
        <v>2391</v>
      </c>
      <c r="G693" s="26" t="n">
        <v>2280</v>
      </c>
      <c r="H693" s="19" t="n">
        <f aca="false">SUMIFS(Paradas!$E$2:$E$1973,Paradas!$A$2:$A$1973,A693,Paradas!$B$2:$B$1973,B693,Paradas!$C$2:$C$1973,C693)</f>
        <v>156</v>
      </c>
      <c r="I693" s="19" t="n">
        <f aca="false">D693-H693</f>
        <v>324</v>
      </c>
      <c r="J693" s="19" t="n">
        <f aca="false">I693*E693</f>
        <v>2592</v>
      </c>
      <c r="K693" s="16" t="n">
        <f aca="false">IF(D693=0,0,I693/D693)</f>
        <v>0.675</v>
      </c>
      <c r="L693" s="16" t="n">
        <f aca="false">IF(J693=0,0,F693/J693)</f>
        <v>0.922453703703704</v>
      </c>
      <c r="M693" s="16" t="n">
        <f aca="false">IF(F693=0,0,G693/F693)</f>
        <v>0.95357590966123</v>
      </c>
      <c r="N693" s="16" t="n">
        <f aca="false">K693*L693*M693</f>
        <v>0.59375</v>
      </c>
      <c r="O693" s="19" t="n">
        <f aca="false">MONTH(A693)</f>
        <v>9</v>
      </c>
      <c r="P693" s="19" t="n">
        <f aca="false">INT((A693-DATE(2026,7,1))/7)+1</f>
        <v>11</v>
      </c>
    </row>
    <row r="694" customFormat="false" ht="15" hidden="false" customHeight="false" outlineLevel="0" collapsed="false">
      <c r="A694" s="25" t="n">
        <v>46280</v>
      </c>
      <c r="B694" s="26" t="s">
        <v>18</v>
      </c>
      <c r="C694" s="26" t="s">
        <v>74</v>
      </c>
      <c r="D694" s="26" t="n">
        <v>480</v>
      </c>
      <c r="E694" s="26" t="n">
        <v>8</v>
      </c>
      <c r="F694" s="26" t="n">
        <v>2762</v>
      </c>
      <c r="G694" s="26" t="n">
        <v>2685</v>
      </c>
      <c r="H694" s="19" t="n">
        <f aca="false">SUMIFS(Paradas!$E$2:$E$1973,Paradas!$A$2:$A$1973,A694,Paradas!$B$2:$B$1973,B694,Paradas!$C$2:$C$1973,C694)</f>
        <v>62</v>
      </c>
      <c r="I694" s="19" t="n">
        <f aca="false">D694-H694</f>
        <v>418</v>
      </c>
      <c r="J694" s="19" t="n">
        <f aca="false">I694*E694</f>
        <v>3344</v>
      </c>
      <c r="K694" s="16" t="n">
        <f aca="false">IF(D694=0,0,I694/D694)</f>
        <v>0.870833333333333</v>
      </c>
      <c r="L694" s="16" t="n">
        <f aca="false">IF(J694=0,0,F694/J694)</f>
        <v>0.825956937799043</v>
      </c>
      <c r="M694" s="16" t="n">
        <f aca="false">IF(F694=0,0,G694/F694)</f>
        <v>0.972121650977553</v>
      </c>
      <c r="N694" s="16" t="n">
        <f aca="false">K694*L694*M694</f>
        <v>0.69921875</v>
      </c>
      <c r="O694" s="19" t="n">
        <f aca="false">MONTH(A694)</f>
        <v>9</v>
      </c>
      <c r="P694" s="19" t="n">
        <f aca="false">INT((A694-DATE(2026,7,1))/7)+1</f>
        <v>11</v>
      </c>
    </row>
    <row r="695" customFormat="false" ht="15" hidden="false" customHeight="false" outlineLevel="0" collapsed="false">
      <c r="A695" s="25" t="n">
        <v>46281</v>
      </c>
      <c r="B695" s="26" t="s">
        <v>16</v>
      </c>
      <c r="C695" s="26" t="s">
        <v>72</v>
      </c>
      <c r="D695" s="26" t="n">
        <v>480</v>
      </c>
      <c r="E695" s="26" t="n">
        <v>12</v>
      </c>
      <c r="F695" s="26" t="n">
        <v>5390</v>
      </c>
      <c r="G695" s="26" t="n">
        <v>5252</v>
      </c>
      <c r="H695" s="19" t="n">
        <f aca="false">SUMIFS(Paradas!$E$2:$E$1973,Paradas!$A$2:$A$1973,A695,Paradas!$B$2:$B$1973,B695,Paradas!$C$2:$C$1973,C695)</f>
        <v>0</v>
      </c>
      <c r="I695" s="19" t="n">
        <f aca="false">D695-H695</f>
        <v>480</v>
      </c>
      <c r="J695" s="19" t="n">
        <f aca="false">I695*E695</f>
        <v>5760</v>
      </c>
      <c r="K695" s="16" t="n">
        <f aca="false">IF(D695=0,0,I695/D695)</f>
        <v>1</v>
      </c>
      <c r="L695" s="16" t="n">
        <f aca="false">IF(J695=0,0,F695/J695)</f>
        <v>0.935763888888889</v>
      </c>
      <c r="M695" s="16" t="n">
        <f aca="false">IF(F695=0,0,G695/F695)</f>
        <v>0.974397031539889</v>
      </c>
      <c r="N695" s="16" t="n">
        <f aca="false">K695*L695*M695</f>
        <v>0.911805555555556</v>
      </c>
      <c r="O695" s="19" t="n">
        <f aca="false">MONTH(A695)</f>
        <v>9</v>
      </c>
      <c r="P695" s="19" t="n">
        <f aca="false">INT((A695-DATE(2026,7,1))/7)+1</f>
        <v>12</v>
      </c>
    </row>
    <row r="696" customFormat="false" ht="15" hidden="false" customHeight="false" outlineLevel="0" collapsed="false">
      <c r="A696" s="25" t="n">
        <v>46281</v>
      </c>
      <c r="B696" s="26" t="s">
        <v>16</v>
      </c>
      <c r="C696" s="26" t="s">
        <v>73</v>
      </c>
      <c r="D696" s="26" t="n">
        <v>480</v>
      </c>
      <c r="E696" s="26" t="n">
        <v>12</v>
      </c>
      <c r="F696" s="26" t="n">
        <v>5029</v>
      </c>
      <c r="G696" s="26" t="n">
        <v>4925</v>
      </c>
      <c r="H696" s="19" t="n">
        <f aca="false">SUMIFS(Paradas!$E$2:$E$1973,Paradas!$A$2:$A$1973,A696,Paradas!$B$2:$B$1973,B696,Paradas!$C$2:$C$1973,C696)</f>
        <v>33</v>
      </c>
      <c r="I696" s="19" t="n">
        <f aca="false">D696-H696</f>
        <v>447</v>
      </c>
      <c r="J696" s="19" t="n">
        <f aca="false">I696*E696</f>
        <v>5364</v>
      </c>
      <c r="K696" s="16" t="n">
        <f aca="false">IF(D696=0,0,I696/D696)</f>
        <v>0.93125</v>
      </c>
      <c r="L696" s="16" t="n">
        <f aca="false">IF(J696=0,0,F696/J696)</f>
        <v>0.937546607009694</v>
      </c>
      <c r="M696" s="16" t="n">
        <f aca="false">IF(F696=0,0,G696/F696)</f>
        <v>0.979319944322927</v>
      </c>
      <c r="N696" s="16" t="n">
        <f aca="false">K696*L696*M696</f>
        <v>0.855034722222222</v>
      </c>
      <c r="O696" s="19" t="n">
        <f aca="false">MONTH(A696)</f>
        <v>9</v>
      </c>
      <c r="P696" s="19" t="n">
        <f aca="false">INT((A696-DATE(2026,7,1))/7)+1</f>
        <v>12</v>
      </c>
    </row>
    <row r="697" customFormat="false" ht="15" hidden="false" customHeight="false" outlineLevel="0" collapsed="false">
      <c r="A697" s="25" t="n">
        <v>46281</v>
      </c>
      <c r="B697" s="26" t="s">
        <v>16</v>
      </c>
      <c r="C697" s="26" t="s">
        <v>74</v>
      </c>
      <c r="D697" s="26" t="n">
        <v>480</v>
      </c>
      <c r="E697" s="26" t="n">
        <v>12</v>
      </c>
      <c r="F697" s="26" t="n">
        <v>3831</v>
      </c>
      <c r="G697" s="26" t="n">
        <v>3769</v>
      </c>
      <c r="H697" s="19" t="n">
        <f aca="false">SUMIFS(Paradas!$E$2:$E$1973,Paradas!$A$2:$A$1973,A697,Paradas!$B$2:$B$1973,B697,Paradas!$C$2:$C$1973,C697)</f>
        <v>79</v>
      </c>
      <c r="I697" s="19" t="n">
        <f aca="false">D697-H697</f>
        <v>401</v>
      </c>
      <c r="J697" s="19" t="n">
        <f aca="false">I697*E697</f>
        <v>4812</v>
      </c>
      <c r="K697" s="16" t="n">
        <f aca="false">IF(D697=0,0,I697/D697)</f>
        <v>0.835416666666667</v>
      </c>
      <c r="L697" s="16" t="n">
        <f aca="false">IF(J697=0,0,F697/J697)</f>
        <v>0.796134663341646</v>
      </c>
      <c r="M697" s="16" t="n">
        <f aca="false">IF(F697=0,0,G697/F697)</f>
        <v>0.983816235969721</v>
      </c>
      <c r="N697" s="16" t="n">
        <f aca="false">K697*L697*M697</f>
        <v>0.654340277777778</v>
      </c>
      <c r="O697" s="19" t="n">
        <f aca="false">MONTH(A697)</f>
        <v>9</v>
      </c>
      <c r="P697" s="19" t="n">
        <f aca="false">INT((A697-DATE(2026,7,1))/7)+1</f>
        <v>12</v>
      </c>
    </row>
    <row r="698" customFormat="false" ht="15" hidden="false" customHeight="false" outlineLevel="0" collapsed="false">
      <c r="A698" s="25" t="n">
        <v>46281</v>
      </c>
      <c r="B698" s="26" t="s">
        <v>17</v>
      </c>
      <c r="C698" s="26" t="s">
        <v>72</v>
      </c>
      <c r="D698" s="26" t="n">
        <v>480</v>
      </c>
      <c r="E698" s="26" t="n">
        <v>10</v>
      </c>
      <c r="F698" s="26" t="n">
        <v>3728</v>
      </c>
      <c r="G698" s="26" t="n">
        <v>3493</v>
      </c>
      <c r="H698" s="19" t="n">
        <f aca="false">SUMIFS(Paradas!$E$2:$E$1973,Paradas!$A$2:$A$1973,A698,Paradas!$B$2:$B$1973,B698,Paradas!$C$2:$C$1973,C698)</f>
        <v>73</v>
      </c>
      <c r="I698" s="19" t="n">
        <f aca="false">D698-H698</f>
        <v>407</v>
      </c>
      <c r="J698" s="19" t="n">
        <f aca="false">I698*E698</f>
        <v>4070</v>
      </c>
      <c r="K698" s="16" t="n">
        <f aca="false">IF(D698=0,0,I698/D698)</f>
        <v>0.847916666666667</v>
      </c>
      <c r="L698" s="16" t="n">
        <f aca="false">IF(J698=0,0,F698/J698)</f>
        <v>0.915970515970516</v>
      </c>
      <c r="M698" s="16" t="n">
        <f aca="false">IF(F698=0,0,G698/F698)</f>
        <v>0.936963519313305</v>
      </c>
      <c r="N698" s="16" t="n">
        <f aca="false">K698*L698*M698</f>
        <v>0.727708333333333</v>
      </c>
      <c r="O698" s="19" t="n">
        <f aca="false">MONTH(A698)</f>
        <v>9</v>
      </c>
      <c r="P698" s="19" t="n">
        <f aca="false">INT((A698-DATE(2026,7,1))/7)+1</f>
        <v>12</v>
      </c>
    </row>
    <row r="699" customFormat="false" ht="15" hidden="false" customHeight="false" outlineLevel="0" collapsed="false">
      <c r="A699" s="25" t="n">
        <v>46281</v>
      </c>
      <c r="B699" s="26" t="s">
        <v>17</v>
      </c>
      <c r="C699" s="26" t="s">
        <v>73</v>
      </c>
      <c r="D699" s="26" t="n">
        <v>480</v>
      </c>
      <c r="E699" s="26" t="n">
        <v>10</v>
      </c>
      <c r="F699" s="26" t="n">
        <v>4291</v>
      </c>
      <c r="G699" s="26" t="n">
        <v>4043</v>
      </c>
      <c r="H699" s="19" t="n">
        <f aca="false">SUMIFS(Paradas!$E$2:$E$1973,Paradas!$A$2:$A$1973,A699,Paradas!$B$2:$B$1973,B699,Paradas!$C$2:$C$1973,C699)</f>
        <v>20</v>
      </c>
      <c r="I699" s="19" t="n">
        <f aca="false">D699-H699</f>
        <v>460</v>
      </c>
      <c r="J699" s="19" t="n">
        <f aca="false">I699*E699</f>
        <v>4600</v>
      </c>
      <c r="K699" s="16" t="n">
        <f aca="false">IF(D699=0,0,I699/D699)</f>
        <v>0.958333333333333</v>
      </c>
      <c r="L699" s="16" t="n">
        <f aca="false">IF(J699=0,0,F699/J699)</f>
        <v>0.932826086956522</v>
      </c>
      <c r="M699" s="16" t="n">
        <f aca="false">IF(F699=0,0,G699/F699)</f>
        <v>0.942204614309019</v>
      </c>
      <c r="N699" s="16" t="n">
        <f aca="false">K699*L699*M699</f>
        <v>0.842291666666667</v>
      </c>
      <c r="O699" s="19" t="n">
        <f aca="false">MONTH(A699)</f>
        <v>9</v>
      </c>
      <c r="P699" s="19" t="n">
        <f aca="false">INT((A699-DATE(2026,7,1))/7)+1</f>
        <v>12</v>
      </c>
    </row>
    <row r="700" customFormat="false" ht="15" hidden="false" customHeight="false" outlineLevel="0" collapsed="false">
      <c r="A700" s="25" t="n">
        <v>46281</v>
      </c>
      <c r="B700" s="26" t="s">
        <v>17</v>
      </c>
      <c r="C700" s="26" t="s">
        <v>74</v>
      </c>
      <c r="D700" s="26" t="n">
        <v>480</v>
      </c>
      <c r="E700" s="26" t="n">
        <v>10</v>
      </c>
      <c r="F700" s="26" t="n">
        <v>3514</v>
      </c>
      <c r="G700" s="26" t="n">
        <v>3330</v>
      </c>
      <c r="H700" s="19" t="n">
        <f aca="false">SUMIFS(Paradas!$E$2:$E$1973,Paradas!$A$2:$A$1973,A700,Paradas!$B$2:$B$1973,B700,Paradas!$C$2:$C$1973,C700)</f>
        <v>74</v>
      </c>
      <c r="I700" s="19" t="n">
        <f aca="false">D700-H700</f>
        <v>406</v>
      </c>
      <c r="J700" s="19" t="n">
        <f aca="false">I700*E700</f>
        <v>4060</v>
      </c>
      <c r="K700" s="16" t="n">
        <f aca="false">IF(D700=0,0,I700/D700)</f>
        <v>0.845833333333333</v>
      </c>
      <c r="L700" s="16" t="n">
        <f aca="false">IF(J700=0,0,F700/J700)</f>
        <v>0.86551724137931</v>
      </c>
      <c r="M700" s="16" t="n">
        <f aca="false">IF(F700=0,0,G700/F700)</f>
        <v>0.947638019351167</v>
      </c>
      <c r="N700" s="16" t="n">
        <f aca="false">K700*L700*M700</f>
        <v>0.69375</v>
      </c>
      <c r="O700" s="19" t="n">
        <f aca="false">MONTH(A700)</f>
        <v>9</v>
      </c>
      <c r="P700" s="19" t="n">
        <f aca="false">INT((A700-DATE(2026,7,1))/7)+1</f>
        <v>12</v>
      </c>
    </row>
    <row r="701" customFormat="false" ht="15" hidden="false" customHeight="false" outlineLevel="0" collapsed="false">
      <c r="A701" s="25" t="n">
        <v>46281</v>
      </c>
      <c r="B701" s="26" t="s">
        <v>18</v>
      </c>
      <c r="C701" s="26" t="s">
        <v>72</v>
      </c>
      <c r="D701" s="26" t="n">
        <v>480</v>
      </c>
      <c r="E701" s="26" t="n">
        <v>8</v>
      </c>
      <c r="F701" s="26" t="n">
        <v>2743</v>
      </c>
      <c r="G701" s="26" t="n">
        <v>2680</v>
      </c>
      <c r="H701" s="19" t="n">
        <f aca="false">SUMIFS(Paradas!$E$2:$E$1973,Paradas!$A$2:$A$1973,A701,Paradas!$B$2:$B$1973,B701,Paradas!$C$2:$C$1973,C701)</f>
        <v>53</v>
      </c>
      <c r="I701" s="19" t="n">
        <f aca="false">D701-H701</f>
        <v>427</v>
      </c>
      <c r="J701" s="19" t="n">
        <f aca="false">I701*E701</f>
        <v>3416</v>
      </c>
      <c r="K701" s="16" t="n">
        <f aca="false">IF(D701=0,0,I701/D701)</f>
        <v>0.889583333333333</v>
      </c>
      <c r="L701" s="16" t="n">
        <f aca="false">IF(J701=0,0,F701/J701)</f>
        <v>0.802985948477752</v>
      </c>
      <c r="M701" s="16" t="n">
        <f aca="false">IF(F701=0,0,G701/F701)</f>
        <v>0.977032446226759</v>
      </c>
      <c r="N701" s="16" t="n">
        <f aca="false">K701*L701*M701</f>
        <v>0.697916666666667</v>
      </c>
      <c r="O701" s="19" t="n">
        <f aca="false">MONTH(A701)</f>
        <v>9</v>
      </c>
      <c r="P701" s="19" t="n">
        <f aca="false">INT((A701-DATE(2026,7,1))/7)+1</f>
        <v>12</v>
      </c>
    </row>
    <row r="702" customFormat="false" ht="15" hidden="false" customHeight="false" outlineLevel="0" collapsed="false">
      <c r="A702" s="25" t="n">
        <v>46281</v>
      </c>
      <c r="B702" s="26" t="s">
        <v>18</v>
      </c>
      <c r="C702" s="26" t="s">
        <v>73</v>
      </c>
      <c r="D702" s="26" t="n">
        <v>480</v>
      </c>
      <c r="E702" s="26" t="n">
        <v>8</v>
      </c>
      <c r="F702" s="26" t="n">
        <v>3227</v>
      </c>
      <c r="G702" s="26" t="n">
        <v>3154</v>
      </c>
      <c r="H702" s="19" t="n">
        <f aca="false">SUMIFS(Paradas!$E$2:$E$1973,Paradas!$A$2:$A$1973,A702,Paradas!$B$2:$B$1973,B702,Paradas!$C$2:$C$1973,C702)</f>
        <v>46</v>
      </c>
      <c r="I702" s="19" t="n">
        <f aca="false">D702-H702</f>
        <v>434</v>
      </c>
      <c r="J702" s="19" t="n">
        <f aca="false">I702*E702</f>
        <v>3472</v>
      </c>
      <c r="K702" s="16" t="n">
        <f aca="false">IF(D702=0,0,I702/D702)</f>
        <v>0.904166666666667</v>
      </c>
      <c r="L702" s="16" t="n">
        <f aca="false">IF(J702=0,0,F702/J702)</f>
        <v>0.929435483870968</v>
      </c>
      <c r="M702" s="16" t="n">
        <f aca="false">IF(F702=0,0,G702/F702)</f>
        <v>0.977378370003099</v>
      </c>
      <c r="N702" s="16" t="n">
        <f aca="false">K702*L702*M702</f>
        <v>0.821354166666667</v>
      </c>
      <c r="O702" s="19" t="n">
        <f aca="false">MONTH(A702)</f>
        <v>9</v>
      </c>
      <c r="P702" s="19" t="n">
        <f aca="false">INT((A702-DATE(2026,7,1))/7)+1</f>
        <v>12</v>
      </c>
    </row>
    <row r="703" customFormat="false" ht="15" hidden="false" customHeight="false" outlineLevel="0" collapsed="false">
      <c r="A703" s="25" t="n">
        <v>46281</v>
      </c>
      <c r="B703" s="26" t="s">
        <v>18</v>
      </c>
      <c r="C703" s="26" t="s">
        <v>74</v>
      </c>
      <c r="D703" s="26" t="n">
        <v>480</v>
      </c>
      <c r="E703" s="26" t="n">
        <v>8</v>
      </c>
      <c r="F703" s="26" t="n">
        <v>2210</v>
      </c>
      <c r="G703" s="26" t="n">
        <v>2111</v>
      </c>
      <c r="H703" s="19" t="n">
        <f aca="false">SUMIFS(Paradas!$E$2:$E$1973,Paradas!$A$2:$A$1973,A703,Paradas!$B$2:$B$1973,B703,Paradas!$C$2:$C$1973,C703)</f>
        <v>156</v>
      </c>
      <c r="I703" s="19" t="n">
        <f aca="false">D703-H703</f>
        <v>324</v>
      </c>
      <c r="J703" s="19" t="n">
        <f aca="false">I703*E703</f>
        <v>2592</v>
      </c>
      <c r="K703" s="16" t="n">
        <f aca="false">IF(D703=0,0,I703/D703)</f>
        <v>0.675</v>
      </c>
      <c r="L703" s="16" t="n">
        <f aca="false">IF(J703=0,0,F703/J703)</f>
        <v>0.852623456790123</v>
      </c>
      <c r="M703" s="16" t="n">
        <f aca="false">IF(F703=0,0,G703/F703)</f>
        <v>0.955203619909502</v>
      </c>
      <c r="N703" s="16" t="n">
        <f aca="false">K703*L703*M703</f>
        <v>0.549739583333333</v>
      </c>
      <c r="O703" s="19" t="n">
        <f aca="false">MONTH(A703)</f>
        <v>9</v>
      </c>
      <c r="P703" s="19" t="n">
        <f aca="false">INT((A703-DATE(2026,7,1))/7)+1</f>
        <v>12</v>
      </c>
    </row>
    <row r="704" customFormat="false" ht="15" hidden="false" customHeight="false" outlineLevel="0" collapsed="false">
      <c r="A704" s="25" t="n">
        <v>46282</v>
      </c>
      <c r="B704" s="26" t="s">
        <v>16</v>
      </c>
      <c r="C704" s="26" t="s">
        <v>72</v>
      </c>
      <c r="D704" s="26" t="n">
        <v>480</v>
      </c>
      <c r="E704" s="26" t="n">
        <v>12</v>
      </c>
      <c r="F704" s="26" t="n">
        <v>4264</v>
      </c>
      <c r="G704" s="26" t="n">
        <v>4155</v>
      </c>
      <c r="H704" s="19" t="n">
        <f aca="false">SUMIFS(Paradas!$E$2:$E$1973,Paradas!$A$2:$A$1973,A704,Paradas!$B$2:$B$1973,B704,Paradas!$C$2:$C$1973,C704)</f>
        <v>60</v>
      </c>
      <c r="I704" s="19" t="n">
        <f aca="false">D704-H704</f>
        <v>420</v>
      </c>
      <c r="J704" s="19" t="n">
        <f aca="false">I704*E704</f>
        <v>5040</v>
      </c>
      <c r="K704" s="16" t="n">
        <f aca="false">IF(D704=0,0,I704/D704)</f>
        <v>0.875</v>
      </c>
      <c r="L704" s="16" t="n">
        <f aca="false">IF(J704=0,0,F704/J704)</f>
        <v>0.846031746031746</v>
      </c>
      <c r="M704" s="16" t="n">
        <f aca="false">IF(F704=0,0,G704/F704)</f>
        <v>0.974437148217636</v>
      </c>
      <c r="N704" s="16" t="n">
        <f aca="false">K704*L704*M704</f>
        <v>0.721354166666667</v>
      </c>
      <c r="O704" s="19" t="n">
        <f aca="false">MONTH(A704)</f>
        <v>9</v>
      </c>
      <c r="P704" s="19" t="n">
        <f aca="false">INT((A704-DATE(2026,7,1))/7)+1</f>
        <v>12</v>
      </c>
    </row>
    <row r="705" customFormat="false" ht="15" hidden="false" customHeight="false" outlineLevel="0" collapsed="false">
      <c r="A705" s="25" t="n">
        <v>46282</v>
      </c>
      <c r="B705" s="26" t="s">
        <v>16</v>
      </c>
      <c r="C705" s="26" t="s">
        <v>73</v>
      </c>
      <c r="D705" s="26" t="n">
        <v>480</v>
      </c>
      <c r="E705" s="26" t="n">
        <v>12</v>
      </c>
      <c r="F705" s="26" t="n">
        <v>4644</v>
      </c>
      <c r="G705" s="26" t="n">
        <v>4567</v>
      </c>
      <c r="H705" s="19" t="n">
        <f aca="false">SUMIFS(Paradas!$E$2:$E$1973,Paradas!$A$2:$A$1973,A705,Paradas!$B$2:$B$1973,B705,Paradas!$C$2:$C$1973,C705)</f>
        <v>33</v>
      </c>
      <c r="I705" s="19" t="n">
        <f aca="false">D705-H705</f>
        <v>447</v>
      </c>
      <c r="J705" s="19" t="n">
        <f aca="false">I705*E705</f>
        <v>5364</v>
      </c>
      <c r="K705" s="16" t="n">
        <f aca="false">IF(D705=0,0,I705/D705)</f>
        <v>0.93125</v>
      </c>
      <c r="L705" s="16" t="n">
        <f aca="false">IF(J705=0,0,F705/J705)</f>
        <v>0.865771812080537</v>
      </c>
      <c r="M705" s="16" t="n">
        <f aca="false">IF(F705=0,0,G705/F705)</f>
        <v>0.983419465977606</v>
      </c>
      <c r="N705" s="16" t="n">
        <f aca="false">K705*L705*M705</f>
        <v>0.792881944444445</v>
      </c>
      <c r="O705" s="19" t="n">
        <f aca="false">MONTH(A705)</f>
        <v>9</v>
      </c>
      <c r="P705" s="19" t="n">
        <f aca="false">INT((A705-DATE(2026,7,1))/7)+1</f>
        <v>12</v>
      </c>
    </row>
    <row r="706" customFormat="false" ht="15" hidden="false" customHeight="false" outlineLevel="0" collapsed="false">
      <c r="A706" s="25" t="n">
        <v>46282</v>
      </c>
      <c r="B706" s="26" t="s">
        <v>16</v>
      </c>
      <c r="C706" s="26" t="s">
        <v>74</v>
      </c>
      <c r="D706" s="26" t="n">
        <v>480</v>
      </c>
      <c r="E706" s="26" t="n">
        <v>12</v>
      </c>
      <c r="F706" s="26" t="n">
        <v>4821</v>
      </c>
      <c r="G706" s="26" t="n">
        <v>4684</v>
      </c>
      <c r="H706" s="19" t="n">
        <f aca="false">SUMIFS(Paradas!$E$2:$E$1973,Paradas!$A$2:$A$1973,A706,Paradas!$B$2:$B$1973,B706,Paradas!$C$2:$C$1973,C706)</f>
        <v>10</v>
      </c>
      <c r="I706" s="19" t="n">
        <f aca="false">D706-H706</f>
        <v>470</v>
      </c>
      <c r="J706" s="19" t="n">
        <f aca="false">I706*E706</f>
        <v>5640</v>
      </c>
      <c r="K706" s="16" t="n">
        <f aca="false">IF(D706=0,0,I706/D706)</f>
        <v>0.979166666666667</v>
      </c>
      <c r="L706" s="16" t="n">
        <f aca="false">IF(J706=0,0,F706/J706)</f>
        <v>0.854787234042553</v>
      </c>
      <c r="M706" s="16" t="n">
        <f aca="false">IF(F706=0,0,G706/F706)</f>
        <v>0.971582659199336</v>
      </c>
      <c r="N706" s="16" t="n">
        <f aca="false">K706*L706*M706</f>
        <v>0.813194444444444</v>
      </c>
      <c r="O706" s="19" t="n">
        <f aca="false">MONTH(A706)</f>
        <v>9</v>
      </c>
      <c r="P706" s="19" t="n">
        <f aca="false">INT((A706-DATE(2026,7,1))/7)+1</f>
        <v>12</v>
      </c>
    </row>
    <row r="707" customFormat="false" ht="15" hidden="false" customHeight="false" outlineLevel="0" collapsed="false">
      <c r="A707" s="25" t="n">
        <v>46282</v>
      </c>
      <c r="B707" s="26" t="s">
        <v>17</v>
      </c>
      <c r="C707" s="26" t="s">
        <v>72</v>
      </c>
      <c r="D707" s="26" t="n">
        <v>480</v>
      </c>
      <c r="E707" s="26" t="n">
        <v>10</v>
      </c>
      <c r="F707" s="26" t="n">
        <v>3577</v>
      </c>
      <c r="G707" s="26" t="n">
        <v>3438</v>
      </c>
      <c r="H707" s="19" t="n">
        <f aca="false">SUMIFS(Paradas!$E$2:$E$1973,Paradas!$A$2:$A$1973,A707,Paradas!$B$2:$B$1973,B707,Paradas!$C$2:$C$1973,C707)</f>
        <v>91</v>
      </c>
      <c r="I707" s="19" t="n">
        <f aca="false">D707-H707</f>
        <v>389</v>
      </c>
      <c r="J707" s="19" t="n">
        <f aca="false">I707*E707</f>
        <v>3890</v>
      </c>
      <c r="K707" s="16" t="n">
        <f aca="false">IF(D707=0,0,I707/D707)</f>
        <v>0.810416666666667</v>
      </c>
      <c r="L707" s="16" t="n">
        <f aca="false">IF(J707=0,0,F707/J707)</f>
        <v>0.919537275064267</v>
      </c>
      <c r="M707" s="16" t="n">
        <f aca="false">IF(F707=0,0,G707/F707)</f>
        <v>0.961140620631814</v>
      </c>
      <c r="N707" s="16" t="n">
        <f aca="false">K707*L707*M707</f>
        <v>0.71625</v>
      </c>
      <c r="O707" s="19" t="n">
        <f aca="false">MONTH(A707)</f>
        <v>9</v>
      </c>
      <c r="P707" s="19" t="n">
        <f aca="false">INT((A707-DATE(2026,7,1))/7)+1</f>
        <v>12</v>
      </c>
    </row>
    <row r="708" customFormat="false" ht="15" hidden="false" customHeight="false" outlineLevel="0" collapsed="false">
      <c r="A708" s="25" t="n">
        <v>46282</v>
      </c>
      <c r="B708" s="26" t="s">
        <v>17</v>
      </c>
      <c r="C708" s="26" t="s">
        <v>73</v>
      </c>
      <c r="D708" s="26" t="n">
        <v>480</v>
      </c>
      <c r="E708" s="26" t="n">
        <v>10</v>
      </c>
      <c r="F708" s="26" t="n">
        <v>3220</v>
      </c>
      <c r="G708" s="26" t="n">
        <v>3091</v>
      </c>
      <c r="H708" s="19" t="n">
        <f aca="false">SUMIFS(Paradas!$E$2:$E$1973,Paradas!$A$2:$A$1973,A708,Paradas!$B$2:$B$1973,B708,Paradas!$C$2:$C$1973,C708)</f>
        <v>116</v>
      </c>
      <c r="I708" s="19" t="n">
        <f aca="false">D708-H708</f>
        <v>364</v>
      </c>
      <c r="J708" s="19" t="n">
        <f aca="false">I708*E708</f>
        <v>3640</v>
      </c>
      <c r="K708" s="16" t="n">
        <f aca="false">IF(D708=0,0,I708/D708)</f>
        <v>0.758333333333333</v>
      </c>
      <c r="L708" s="16" t="n">
        <f aca="false">IF(J708=0,0,F708/J708)</f>
        <v>0.884615384615385</v>
      </c>
      <c r="M708" s="16" t="n">
        <f aca="false">IF(F708=0,0,G708/F708)</f>
        <v>0.959937888198758</v>
      </c>
      <c r="N708" s="16" t="n">
        <f aca="false">K708*L708*M708</f>
        <v>0.643958333333333</v>
      </c>
      <c r="O708" s="19" t="n">
        <f aca="false">MONTH(A708)</f>
        <v>9</v>
      </c>
      <c r="P708" s="19" t="n">
        <f aca="false">INT((A708-DATE(2026,7,1))/7)+1</f>
        <v>12</v>
      </c>
    </row>
    <row r="709" customFormat="false" ht="15" hidden="false" customHeight="false" outlineLevel="0" collapsed="false">
      <c r="A709" s="25" t="n">
        <v>46282</v>
      </c>
      <c r="B709" s="26" t="s">
        <v>17</v>
      </c>
      <c r="C709" s="26" t="s">
        <v>74</v>
      </c>
      <c r="D709" s="26" t="n">
        <v>480</v>
      </c>
      <c r="E709" s="26" t="n">
        <v>10</v>
      </c>
      <c r="F709" s="26" t="n">
        <v>3267</v>
      </c>
      <c r="G709" s="26" t="n">
        <v>3121</v>
      </c>
      <c r="H709" s="19" t="n">
        <f aca="false">SUMIFS(Paradas!$E$2:$E$1973,Paradas!$A$2:$A$1973,A709,Paradas!$B$2:$B$1973,B709,Paradas!$C$2:$C$1973,C709)</f>
        <v>76</v>
      </c>
      <c r="I709" s="19" t="n">
        <f aca="false">D709-H709</f>
        <v>404</v>
      </c>
      <c r="J709" s="19" t="n">
        <f aca="false">I709*E709</f>
        <v>4040</v>
      </c>
      <c r="K709" s="16" t="n">
        <f aca="false">IF(D709=0,0,I709/D709)</f>
        <v>0.841666666666667</v>
      </c>
      <c r="L709" s="16" t="n">
        <f aca="false">IF(J709=0,0,F709/J709)</f>
        <v>0.808663366336634</v>
      </c>
      <c r="M709" s="16" t="n">
        <f aca="false">IF(F709=0,0,G709/F709)</f>
        <v>0.95531068258341</v>
      </c>
      <c r="N709" s="16" t="n">
        <f aca="false">K709*L709*M709</f>
        <v>0.650208333333333</v>
      </c>
      <c r="O709" s="19" t="n">
        <f aca="false">MONTH(A709)</f>
        <v>9</v>
      </c>
      <c r="P709" s="19" t="n">
        <f aca="false">INT((A709-DATE(2026,7,1))/7)+1</f>
        <v>12</v>
      </c>
    </row>
    <row r="710" customFormat="false" ht="15" hidden="false" customHeight="false" outlineLevel="0" collapsed="false">
      <c r="A710" s="25" t="n">
        <v>46282</v>
      </c>
      <c r="B710" s="26" t="s">
        <v>18</v>
      </c>
      <c r="C710" s="26" t="s">
        <v>72</v>
      </c>
      <c r="D710" s="26" t="n">
        <v>480</v>
      </c>
      <c r="E710" s="26" t="n">
        <v>8</v>
      </c>
      <c r="F710" s="26" t="n">
        <v>3187</v>
      </c>
      <c r="G710" s="26" t="n">
        <v>3094</v>
      </c>
      <c r="H710" s="19" t="n">
        <f aca="false">SUMIFS(Paradas!$E$2:$E$1973,Paradas!$A$2:$A$1973,A710,Paradas!$B$2:$B$1973,B710,Paradas!$C$2:$C$1973,C710)</f>
        <v>54</v>
      </c>
      <c r="I710" s="19" t="n">
        <f aca="false">D710-H710</f>
        <v>426</v>
      </c>
      <c r="J710" s="19" t="n">
        <f aca="false">I710*E710</f>
        <v>3408</v>
      </c>
      <c r="K710" s="16" t="n">
        <f aca="false">IF(D710=0,0,I710/D710)</f>
        <v>0.8875</v>
      </c>
      <c r="L710" s="16" t="n">
        <f aca="false">IF(J710=0,0,F710/J710)</f>
        <v>0.935152582159624</v>
      </c>
      <c r="M710" s="16" t="n">
        <f aca="false">IF(F710=0,0,G710/F710)</f>
        <v>0.970818951992469</v>
      </c>
      <c r="N710" s="16" t="n">
        <f aca="false">K710*L710*M710</f>
        <v>0.805729166666667</v>
      </c>
      <c r="O710" s="19" t="n">
        <f aca="false">MONTH(A710)</f>
        <v>9</v>
      </c>
      <c r="P710" s="19" t="n">
        <f aca="false">INT((A710-DATE(2026,7,1))/7)+1</f>
        <v>12</v>
      </c>
    </row>
    <row r="711" customFormat="false" ht="15" hidden="false" customHeight="false" outlineLevel="0" collapsed="false">
      <c r="A711" s="25" t="n">
        <v>46282</v>
      </c>
      <c r="B711" s="26" t="s">
        <v>18</v>
      </c>
      <c r="C711" s="26" t="s">
        <v>73</v>
      </c>
      <c r="D711" s="26" t="n">
        <v>480</v>
      </c>
      <c r="E711" s="26" t="n">
        <v>8</v>
      </c>
      <c r="F711" s="26" t="n">
        <v>3492</v>
      </c>
      <c r="G711" s="26" t="n">
        <v>3377</v>
      </c>
      <c r="H711" s="19" t="n">
        <f aca="false">SUMIFS(Paradas!$E$2:$E$1973,Paradas!$A$2:$A$1973,A711,Paradas!$B$2:$B$1973,B711,Paradas!$C$2:$C$1973,C711)</f>
        <v>17</v>
      </c>
      <c r="I711" s="19" t="n">
        <f aca="false">D711-H711</f>
        <v>463</v>
      </c>
      <c r="J711" s="19" t="n">
        <f aca="false">I711*E711</f>
        <v>3704</v>
      </c>
      <c r="K711" s="16" t="n">
        <f aca="false">IF(D711=0,0,I711/D711)</f>
        <v>0.964583333333333</v>
      </c>
      <c r="L711" s="16" t="n">
        <f aca="false">IF(J711=0,0,F711/J711)</f>
        <v>0.942764578833693</v>
      </c>
      <c r="M711" s="16" t="n">
        <f aca="false">IF(F711=0,0,G711/F711)</f>
        <v>0.967067583046965</v>
      </c>
      <c r="N711" s="16" t="n">
        <f aca="false">K711*L711*M711</f>
        <v>0.879427083333333</v>
      </c>
      <c r="O711" s="19" t="n">
        <f aca="false">MONTH(A711)</f>
        <v>9</v>
      </c>
      <c r="P711" s="19" t="n">
        <f aca="false">INT((A711-DATE(2026,7,1))/7)+1</f>
        <v>12</v>
      </c>
    </row>
    <row r="712" customFormat="false" ht="15" hidden="false" customHeight="false" outlineLevel="0" collapsed="false">
      <c r="A712" s="25" t="n">
        <v>46282</v>
      </c>
      <c r="B712" s="26" t="s">
        <v>18</v>
      </c>
      <c r="C712" s="26" t="s">
        <v>74</v>
      </c>
      <c r="D712" s="26" t="n">
        <v>480</v>
      </c>
      <c r="E712" s="26" t="n">
        <v>8</v>
      </c>
      <c r="F712" s="26" t="n">
        <v>2723</v>
      </c>
      <c r="G712" s="26" t="n">
        <v>2629</v>
      </c>
      <c r="H712" s="19" t="n">
        <f aca="false">SUMIFS(Paradas!$E$2:$E$1973,Paradas!$A$2:$A$1973,A712,Paradas!$B$2:$B$1973,B712,Paradas!$C$2:$C$1973,C712)</f>
        <v>77</v>
      </c>
      <c r="I712" s="19" t="n">
        <f aca="false">D712-H712</f>
        <v>403</v>
      </c>
      <c r="J712" s="19" t="n">
        <f aca="false">I712*E712</f>
        <v>3224</v>
      </c>
      <c r="K712" s="16" t="n">
        <f aca="false">IF(D712=0,0,I712/D712)</f>
        <v>0.839583333333333</v>
      </c>
      <c r="L712" s="16" t="n">
        <f aca="false">IF(J712=0,0,F712/J712)</f>
        <v>0.844602977667494</v>
      </c>
      <c r="M712" s="16" t="n">
        <f aca="false">IF(F712=0,0,G712/F712)</f>
        <v>0.965479250826295</v>
      </c>
      <c r="N712" s="16" t="n">
        <f aca="false">K712*L712*M712</f>
        <v>0.684635416666667</v>
      </c>
      <c r="O712" s="19" t="n">
        <f aca="false">MONTH(A712)</f>
        <v>9</v>
      </c>
      <c r="P712" s="19" t="n">
        <f aca="false">INT((A712-DATE(2026,7,1))/7)+1</f>
        <v>12</v>
      </c>
    </row>
    <row r="713" customFormat="false" ht="15" hidden="false" customHeight="false" outlineLevel="0" collapsed="false">
      <c r="A713" s="25" t="n">
        <v>46283</v>
      </c>
      <c r="B713" s="26" t="s">
        <v>16</v>
      </c>
      <c r="C713" s="26" t="s">
        <v>72</v>
      </c>
      <c r="D713" s="26" t="n">
        <v>480</v>
      </c>
      <c r="E713" s="26" t="n">
        <v>12</v>
      </c>
      <c r="F713" s="26" t="n">
        <v>5111</v>
      </c>
      <c r="G713" s="26" t="n">
        <v>4882</v>
      </c>
      <c r="H713" s="19" t="n">
        <f aca="false">SUMIFS(Paradas!$E$2:$E$1973,Paradas!$A$2:$A$1973,A713,Paradas!$B$2:$B$1973,B713,Paradas!$C$2:$C$1973,C713)</f>
        <v>0</v>
      </c>
      <c r="I713" s="19" t="n">
        <f aca="false">D713-H713</f>
        <v>480</v>
      </c>
      <c r="J713" s="19" t="n">
        <f aca="false">I713*E713</f>
        <v>5760</v>
      </c>
      <c r="K713" s="16" t="n">
        <f aca="false">IF(D713=0,0,I713/D713)</f>
        <v>1</v>
      </c>
      <c r="L713" s="16" t="n">
        <f aca="false">IF(J713=0,0,F713/J713)</f>
        <v>0.887326388888889</v>
      </c>
      <c r="M713" s="16" t="n">
        <f aca="false">IF(F713=0,0,G713/F713)</f>
        <v>0.955194678145177</v>
      </c>
      <c r="N713" s="16" t="n">
        <f aca="false">K713*L713*M713</f>
        <v>0.847569444444445</v>
      </c>
      <c r="O713" s="19" t="n">
        <f aca="false">MONTH(A713)</f>
        <v>9</v>
      </c>
      <c r="P713" s="19" t="n">
        <f aca="false">INT((A713-DATE(2026,7,1))/7)+1</f>
        <v>12</v>
      </c>
    </row>
    <row r="714" customFormat="false" ht="15" hidden="false" customHeight="false" outlineLevel="0" collapsed="false">
      <c r="A714" s="25" t="n">
        <v>46283</v>
      </c>
      <c r="B714" s="26" t="s">
        <v>16</v>
      </c>
      <c r="C714" s="26" t="s">
        <v>73</v>
      </c>
      <c r="D714" s="26" t="n">
        <v>480</v>
      </c>
      <c r="E714" s="26" t="n">
        <v>12</v>
      </c>
      <c r="F714" s="26" t="n">
        <v>3102</v>
      </c>
      <c r="G714" s="26" t="n">
        <v>3012</v>
      </c>
      <c r="H714" s="19" t="n">
        <f aca="false">SUMIFS(Paradas!$E$2:$E$1973,Paradas!$A$2:$A$1973,A714,Paradas!$B$2:$B$1973,B714,Paradas!$C$2:$C$1973,C714)</f>
        <v>181</v>
      </c>
      <c r="I714" s="19" t="n">
        <f aca="false">D714-H714</f>
        <v>299</v>
      </c>
      <c r="J714" s="19" t="n">
        <f aca="false">I714*E714</f>
        <v>3588</v>
      </c>
      <c r="K714" s="16" t="n">
        <f aca="false">IF(D714=0,0,I714/D714)</f>
        <v>0.622916666666667</v>
      </c>
      <c r="L714" s="16" t="n">
        <f aca="false">IF(J714=0,0,F714/J714)</f>
        <v>0.864548494983278</v>
      </c>
      <c r="M714" s="16" t="n">
        <f aca="false">IF(F714=0,0,G714/F714)</f>
        <v>0.970986460348163</v>
      </c>
      <c r="N714" s="16" t="n">
        <f aca="false">K714*L714*M714</f>
        <v>0.522916666666667</v>
      </c>
      <c r="O714" s="19" t="n">
        <f aca="false">MONTH(A714)</f>
        <v>9</v>
      </c>
      <c r="P714" s="19" t="n">
        <f aca="false">INT((A714-DATE(2026,7,1))/7)+1</f>
        <v>12</v>
      </c>
    </row>
    <row r="715" customFormat="false" ht="15" hidden="false" customHeight="false" outlineLevel="0" collapsed="false">
      <c r="A715" s="25" t="n">
        <v>46283</v>
      </c>
      <c r="B715" s="26" t="s">
        <v>16</v>
      </c>
      <c r="C715" s="26" t="s">
        <v>74</v>
      </c>
      <c r="D715" s="26" t="n">
        <v>480</v>
      </c>
      <c r="E715" s="26" t="n">
        <v>12</v>
      </c>
      <c r="F715" s="26" t="n">
        <v>3556</v>
      </c>
      <c r="G715" s="26" t="n">
        <v>3475</v>
      </c>
      <c r="H715" s="19" t="n">
        <f aca="false">SUMIFS(Paradas!$E$2:$E$1973,Paradas!$A$2:$A$1973,A715,Paradas!$B$2:$B$1973,B715,Paradas!$C$2:$C$1973,C715)</f>
        <v>127</v>
      </c>
      <c r="I715" s="19" t="n">
        <f aca="false">D715-H715</f>
        <v>353</v>
      </c>
      <c r="J715" s="19" t="n">
        <f aca="false">I715*E715</f>
        <v>4236</v>
      </c>
      <c r="K715" s="16" t="n">
        <f aca="false">IF(D715=0,0,I715/D715)</f>
        <v>0.735416666666667</v>
      </c>
      <c r="L715" s="16" t="n">
        <f aca="false">IF(J715=0,0,F715/J715)</f>
        <v>0.83947119924457</v>
      </c>
      <c r="M715" s="16" t="n">
        <f aca="false">IF(F715=0,0,G715/F715)</f>
        <v>0.977221597300337</v>
      </c>
      <c r="N715" s="16" t="n">
        <f aca="false">K715*L715*M715</f>
        <v>0.603298611111111</v>
      </c>
      <c r="O715" s="19" t="n">
        <f aca="false">MONTH(A715)</f>
        <v>9</v>
      </c>
      <c r="P715" s="19" t="n">
        <f aca="false">INT((A715-DATE(2026,7,1))/7)+1</f>
        <v>12</v>
      </c>
    </row>
    <row r="716" customFormat="false" ht="15" hidden="false" customHeight="false" outlineLevel="0" collapsed="false">
      <c r="A716" s="25" t="n">
        <v>46283</v>
      </c>
      <c r="B716" s="26" t="s">
        <v>17</v>
      </c>
      <c r="C716" s="26" t="s">
        <v>72</v>
      </c>
      <c r="D716" s="26" t="n">
        <v>480</v>
      </c>
      <c r="E716" s="26" t="n">
        <v>10</v>
      </c>
      <c r="F716" s="26" t="n">
        <v>3938</v>
      </c>
      <c r="G716" s="26" t="n">
        <v>3675</v>
      </c>
      <c r="H716" s="19" t="n">
        <f aca="false">SUMIFS(Paradas!$E$2:$E$1973,Paradas!$A$2:$A$1973,A716,Paradas!$B$2:$B$1973,B716,Paradas!$C$2:$C$1973,C716)</f>
        <v>23</v>
      </c>
      <c r="I716" s="19" t="n">
        <f aca="false">D716-H716</f>
        <v>457</v>
      </c>
      <c r="J716" s="19" t="n">
        <f aca="false">I716*E716</f>
        <v>4570</v>
      </c>
      <c r="K716" s="16" t="n">
        <f aca="false">IF(D716=0,0,I716/D716)</f>
        <v>0.952083333333333</v>
      </c>
      <c r="L716" s="16" t="n">
        <f aca="false">IF(J716=0,0,F716/J716)</f>
        <v>0.861706783369803</v>
      </c>
      <c r="M716" s="16" t="n">
        <f aca="false">IF(F716=0,0,G716/F716)</f>
        <v>0.933214829862875</v>
      </c>
      <c r="N716" s="16" t="n">
        <f aca="false">K716*L716*M716</f>
        <v>0.765625</v>
      </c>
      <c r="O716" s="19" t="n">
        <f aca="false">MONTH(A716)</f>
        <v>9</v>
      </c>
      <c r="P716" s="19" t="n">
        <f aca="false">INT((A716-DATE(2026,7,1))/7)+1</f>
        <v>12</v>
      </c>
    </row>
    <row r="717" customFormat="false" ht="15" hidden="false" customHeight="false" outlineLevel="0" collapsed="false">
      <c r="A717" s="25" t="n">
        <v>46283</v>
      </c>
      <c r="B717" s="26" t="s">
        <v>17</v>
      </c>
      <c r="C717" s="26" t="s">
        <v>73</v>
      </c>
      <c r="D717" s="26" t="n">
        <v>480</v>
      </c>
      <c r="E717" s="26" t="n">
        <v>10</v>
      </c>
      <c r="F717" s="26" t="n">
        <v>4198</v>
      </c>
      <c r="G717" s="26" t="n">
        <v>4023</v>
      </c>
      <c r="H717" s="19" t="n">
        <f aca="false">SUMIFS(Paradas!$E$2:$E$1973,Paradas!$A$2:$A$1973,A717,Paradas!$B$2:$B$1973,B717,Paradas!$C$2:$C$1973,C717)</f>
        <v>0</v>
      </c>
      <c r="I717" s="19" t="n">
        <f aca="false">D717-H717</f>
        <v>480</v>
      </c>
      <c r="J717" s="19" t="n">
        <f aca="false">I717*E717</f>
        <v>4800</v>
      </c>
      <c r="K717" s="16" t="n">
        <f aca="false">IF(D717=0,0,I717/D717)</f>
        <v>1</v>
      </c>
      <c r="L717" s="16" t="n">
        <f aca="false">IF(J717=0,0,F717/J717)</f>
        <v>0.874583333333333</v>
      </c>
      <c r="M717" s="16" t="n">
        <f aca="false">IF(F717=0,0,G717/F717)</f>
        <v>0.958313482610767</v>
      </c>
      <c r="N717" s="16" t="n">
        <f aca="false">K717*L717*M717</f>
        <v>0.838125</v>
      </c>
      <c r="O717" s="19" t="n">
        <f aca="false">MONTH(A717)</f>
        <v>9</v>
      </c>
      <c r="P717" s="19" t="n">
        <f aca="false">INT((A717-DATE(2026,7,1))/7)+1</f>
        <v>12</v>
      </c>
    </row>
    <row r="718" customFormat="false" ht="15" hidden="false" customHeight="false" outlineLevel="0" collapsed="false">
      <c r="A718" s="25" t="n">
        <v>46283</v>
      </c>
      <c r="B718" s="26" t="s">
        <v>17</v>
      </c>
      <c r="C718" s="26" t="s">
        <v>74</v>
      </c>
      <c r="D718" s="26" t="n">
        <v>480</v>
      </c>
      <c r="E718" s="26" t="n">
        <v>10</v>
      </c>
      <c r="F718" s="26" t="n">
        <v>3816</v>
      </c>
      <c r="G718" s="26" t="n">
        <v>3643</v>
      </c>
      <c r="H718" s="19" t="n">
        <f aca="false">SUMIFS(Paradas!$E$2:$E$1973,Paradas!$A$2:$A$1973,A718,Paradas!$B$2:$B$1973,B718,Paradas!$C$2:$C$1973,C718)</f>
        <v>57</v>
      </c>
      <c r="I718" s="19" t="n">
        <f aca="false">D718-H718</f>
        <v>423</v>
      </c>
      <c r="J718" s="19" t="n">
        <f aca="false">I718*E718</f>
        <v>4230</v>
      </c>
      <c r="K718" s="16" t="n">
        <f aca="false">IF(D718=0,0,I718/D718)</f>
        <v>0.88125</v>
      </c>
      <c r="L718" s="16" t="n">
        <f aca="false">IF(J718=0,0,F718/J718)</f>
        <v>0.902127659574468</v>
      </c>
      <c r="M718" s="16" t="n">
        <f aca="false">IF(F718=0,0,G718/F718)</f>
        <v>0.954664570230608</v>
      </c>
      <c r="N718" s="16" t="n">
        <f aca="false">K718*L718*M718</f>
        <v>0.758958333333333</v>
      </c>
      <c r="O718" s="19" t="n">
        <f aca="false">MONTH(A718)</f>
        <v>9</v>
      </c>
      <c r="P718" s="19" t="n">
        <f aca="false">INT((A718-DATE(2026,7,1))/7)+1</f>
        <v>12</v>
      </c>
    </row>
    <row r="719" customFormat="false" ht="15" hidden="false" customHeight="false" outlineLevel="0" collapsed="false">
      <c r="A719" s="25" t="n">
        <v>46283</v>
      </c>
      <c r="B719" s="26" t="s">
        <v>18</v>
      </c>
      <c r="C719" s="26" t="s">
        <v>72</v>
      </c>
      <c r="D719" s="26" t="n">
        <v>480</v>
      </c>
      <c r="E719" s="26" t="n">
        <v>8</v>
      </c>
      <c r="F719" s="26" t="n">
        <v>3274</v>
      </c>
      <c r="G719" s="26" t="n">
        <v>3169</v>
      </c>
      <c r="H719" s="19" t="n">
        <f aca="false">SUMIFS(Paradas!$E$2:$E$1973,Paradas!$A$2:$A$1973,A719,Paradas!$B$2:$B$1973,B719,Paradas!$C$2:$C$1973,C719)</f>
        <v>37</v>
      </c>
      <c r="I719" s="19" t="n">
        <f aca="false">D719-H719</f>
        <v>443</v>
      </c>
      <c r="J719" s="19" t="n">
        <f aca="false">I719*E719</f>
        <v>3544</v>
      </c>
      <c r="K719" s="16" t="n">
        <f aca="false">IF(D719=0,0,I719/D719)</f>
        <v>0.922916666666667</v>
      </c>
      <c r="L719" s="16" t="n">
        <f aca="false">IF(J719=0,0,F719/J719)</f>
        <v>0.923814898419865</v>
      </c>
      <c r="M719" s="16" t="n">
        <f aca="false">IF(F719=0,0,G719/F719)</f>
        <v>0.967929138668296</v>
      </c>
      <c r="N719" s="16" t="n">
        <f aca="false">K719*L719*M719</f>
        <v>0.825260416666667</v>
      </c>
      <c r="O719" s="19" t="n">
        <f aca="false">MONTH(A719)</f>
        <v>9</v>
      </c>
      <c r="P719" s="19" t="n">
        <f aca="false">INT((A719-DATE(2026,7,1))/7)+1</f>
        <v>12</v>
      </c>
    </row>
    <row r="720" customFormat="false" ht="15" hidden="false" customHeight="false" outlineLevel="0" collapsed="false">
      <c r="A720" s="25" t="n">
        <v>46283</v>
      </c>
      <c r="B720" s="26" t="s">
        <v>18</v>
      </c>
      <c r="C720" s="26" t="s">
        <v>73</v>
      </c>
      <c r="D720" s="26" t="n">
        <v>480</v>
      </c>
      <c r="E720" s="26" t="n">
        <v>8</v>
      </c>
      <c r="F720" s="26" t="n">
        <v>3067</v>
      </c>
      <c r="G720" s="26" t="n">
        <v>2998</v>
      </c>
      <c r="H720" s="19" t="n">
        <f aca="false">SUMIFS(Paradas!$E$2:$E$1973,Paradas!$A$2:$A$1973,A720,Paradas!$B$2:$B$1973,B720,Paradas!$C$2:$C$1973,C720)</f>
        <v>52</v>
      </c>
      <c r="I720" s="19" t="n">
        <f aca="false">D720-H720</f>
        <v>428</v>
      </c>
      <c r="J720" s="19" t="n">
        <f aca="false">I720*E720</f>
        <v>3424</v>
      </c>
      <c r="K720" s="16" t="n">
        <f aca="false">IF(D720=0,0,I720/D720)</f>
        <v>0.891666666666667</v>
      </c>
      <c r="L720" s="16" t="n">
        <f aca="false">IF(J720=0,0,F720/J720)</f>
        <v>0.895735981308411</v>
      </c>
      <c r="M720" s="16" t="n">
        <f aca="false">IF(F720=0,0,G720/F720)</f>
        <v>0.977502445386371</v>
      </c>
      <c r="N720" s="16" t="n">
        <f aca="false">K720*L720*M720</f>
        <v>0.780729166666667</v>
      </c>
      <c r="O720" s="19" t="n">
        <f aca="false">MONTH(A720)</f>
        <v>9</v>
      </c>
      <c r="P720" s="19" t="n">
        <f aca="false">INT((A720-DATE(2026,7,1))/7)+1</f>
        <v>12</v>
      </c>
    </row>
    <row r="721" customFormat="false" ht="15" hidden="false" customHeight="false" outlineLevel="0" collapsed="false">
      <c r="A721" s="25" t="n">
        <v>46283</v>
      </c>
      <c r="B721" s="26" t="s">
        <v>18</v>
      </c>
      <c r="C721" s="26" t="s">
        <v>74</v>
      </c>
      <c r="D721" s="26" t="n">
        <v>480</v>
      </c>
      <c r="E721" s="26" t="n">
        <v>8</v>
      </c>
      <c r="F721" s="26" t="n">
        <v>2550</v>
      </c>
      <c r="G721" s="26" t="n">
        <v>2492</v>
      </c>
      <c r="H721" s="19" t="n">
        <f aca="false">SUMIFS(Paradas!$E$2:$E$1973,Paradas!$A$2:$A$1973,A721,Paradas!$B$2:$B$1973,B721,Paradas!$C$2:$C$1973,C721)</f>
        <v>85</v>
      </c>
      <c r="I721" s="19" t="n">
        <f aca="false">D721-H721</f>
        <v>395</v>
      </c>
      <c r="J721" s="19" t="n">
        <f aca="false">I721*E721</f>
        <v>3160</v>
      </c>
      <c r="K721" s="16" t="n">
        <f aca="false">IF(D721=0,0,I721/D721)</f>
        <v>0.822916666666667</v>
      </c>
      <c r="L721" s="16" t="n">
        <f aca="false">IF(J721=0,0,F721/J721)</f>
        <v>0.806962025316456</v>
      </c>
      <c r="M721" s="16" t="n">
        <f aca="false">IF(F721=0,0,G721/F721)</f>
        <v>0.977254901960784</v>
      </c>
      <c r="N721" s="16" t="n">
        <f aca="false">K721*L721*M721</f>
        <v>0.648958333333333</v>
      </c>
      <c r="O721" s="19" t="n">
        <f aca="false">MONTH(A721)</f>
        <v>9</v>
      </c>
      <c r="P721" s="19" t="n">
        <f aca="false">INT((A721-DATE(2026,7,1))/7)+1</f>
        <v>12</v>
      </c>
    </row>
    <row r="722" customFormat="false" ht="15" hidden="false" customHeight="false" outlineLevel="0" collapsed="false">
      <c r="A722" s="25" t="n">
        <v>46284</v>
      </c>
      <c r="B722" s="26" t="s">
        <v>16</v>
      </c>
      <c r="C722" s="26" t="s">
        <v>72</v>
      </c>
      <c r="D722" s="26" t="n">
        <v>480</v>
      </c>
      <c r="E722" s="26" t="n">
        <v>12</v>
      </c>
      <c r="F722" s="26" t="n">
        <v>4935</v>
      </c>
      <c r="G722" s="26" t="n">
        <v>4801</v>
      </c>
      <c r="H722" s="19" t="n">
        <f aca="false">SUMIFS(Paradas!$E$2:$E$1973,Paradas!$A$2:$A$1973,A722,Paradas!$B$2:$B$1973,B722,Paradas!$C$2:$C$1973,C722)</f>
        <v>45</v>
      </c>
      <c r="I722" s="19" t="n">
        <f aca="false">D722-H722</f>
        <v>435</v>
      </c>
      <c r="J722" s="19" t="n">
        <f aca="false">I722*E722</f>
        <v>5220</v>
      </c>
      <c r="K722" s="16" t="n">
        <f aca="false">IF(D722=0,0,I722/D722)</f>
        <v>0.90625</v>
      </c>
      <c r="L722" s="16" t="n">
        <f aca="false">IF(J722=0,0,F722/J722)</f>
        <v>0.945402298850575</v>
      </c>
      <c r="M722" s="16" t="n">
        <f aca="false">IF(F722=0,0,G722/F722)</f>
        <v>0.972847011144884</v>
      </c>
      <c r="N722" s="16" t="n">
        <f aca="false">K722*L722*M722</f>
        <v>0.833506944444445</v>
      </c>
      <c r="O722" s="19" t="n">
        <f aca="false">MONTH(A722)</f>
        <v>9</v>
      </c>
      <c r="P722" s="19" t="n">
        <f aca="false">INT((A722-DATE(2026,7,1))/7)+1</f>
        <v>12</v>
      </c>
    </row>
    <row r="723" customFormat="false" ht="15" hidden="false" customHeight="false" outlineLevel="0" collapsed="false">
      <c r="A723" s="25" t="n">
        <v>46284</v>
      </c>
      <c r="B723" s="26" t="s">
        <v>16</v>
      </c>
      <c r="C723" s="26" t="s">
        <v>73</v>
      </c>
      <c r="D723" s="26" t="n">
        <v>480</v>
      </c>
      <c r="E723" s="26" t="n">
        <v>12</v>
      </c>
      <c r="F723" s="26" t="n">
        <v>5138</v>
      </c>
      <c r="G723" s="26" t="n">
        <v>5008</v>
      </c>
      <c r="H723" s="19" t="n">
        <f aca="false">SUMIFS(Paradas!$E$2:$E$1973,Paradas!$A$2:$A$1973,A723,Paradas!$B$2:$B$1973,B723,Paradas!$C$2:$C$1973,C723)</f>
        <v>19</v>
      </c>
      <c r="I723" s="19" t="n">
        <f aca="false">D723-H723</f>
        <v>461</v>
      </c>
      <c r="J723" s="19" t="n">
        <f aca="false">I723*E723</f>
        <v>5532</v>
      </c>
      <c r="K723" s="16" t="n">
        <f aca="false">IF(D723=0,0,I723/D723)</f>
        <v>0.960416666666667</v>
      </c>
      <c r="L723" s="16" t="n">
        <f aca="false">IF(J723=0,0,F723/J723)</f>
        <v>0.928778018799711</v>
      </c>
      <c r="M723" s="16" t="n">
        <f aca="false">IF(F723=0,0,G723/F723)</f>
        <v>0.974698326196964</v>
      </c>
      <c r="N723" s="16" t="n">
        <f aca="false">K723*L723*M723</f>
        <v>0.869444444444445</v>
      </c>
      <c r="O723" s="19" t="n">
        <f aca="false">MONTH(A723)</f>
        <v>9</v>
      </c>
      <c r="P723" s="19" t="n">
        <f aca="false">INT((A723-DATE(2026,7,1))/7)+1</f>
        <v>12</v>
      </c>
    </row>
    <row r="724" customFormat="false" ht="15" hidden="false" customHeight="false" outlineLevel="0" collapsed="false">
      <c r="A724" s="25" t="n">
        <v>46284</v>
      </c>
      <c r="B724" s="26" t="s">
        <v>16</v>
      </c>
      <c r="C724" s="26" t="s">
        <v>74</v>
      </c>
      <c r="D724" s="26" t="n">
        <v>480</v>
      </c>
      <c r="E724" s="26" t="n">
        <v>12</v>
      </c>
      <c r="F724" s="26" t="n">
        <v>3526</v>
      </c>
      <c r="G724" s="26" t="n">
        <v>3416</v>
      </c>
      <c r="H724" s="19" t="n">
        <f aca="false">SUMIFS(Paradas!$E$2:$E$1973,Paradas!$A$2:$A$1973,A724,Paradas!$B$2:$B$1973,B724,Paradas!$C$2:$C$1973,C724)</f>
        <v>128</v>
      </c>
      <c r="I724" s="19" t="n">
        <f aca="false">D724-H724</f>
        <v>352</v>
      </c>
      <c r="J724" s="19" t="n">
        <f aca="false">I724*E724</f>
        <v>4224</v>
      </c>
      <c r="K724" s="16" t="n">
        <f aca="false">IF(D724=0,0,I724/D724)</f>
        <v>0.733333333333333</v>
      </c>
      <c r="L724" s="16" t="n">
        <f aca="false">IF(J724=0,0,F724/J724)</f>
        <v>0.834753787878788</v>
      </c>
      <c r="M724" s="16" t="n">
        <f aca="false">IF(F724=0,0,G724/F724)</f>
        <v>0.968803176403857</v>
      </c>
      <c r="N724" s="16" t="n">
        <f aca="false">K724*L724*M724</f>
        <v>0.593055555555555</v>
      </c>
      <c r="O724" s="19" t="n">
        <f aca="false">MONTH(A724)</f>
        <v>9</v>
      </c>
      <c r="P724" s="19" t="n">
        <f aca="false">INT((A724-DATE(2026,7,1))/7)+1</f>
        <v>12</v>
      </c>
    </row>
    <row r="725" customFormat="false" ht="15" hidden="false" customHeight="false" outlineLevel="0" collapsed="false">
      <c r="A725" s="25" t="n">
        <v>46284</v>
      </c>
      <c r="B725" s="26" t="s">
        <v>17</v>
      </c>
      <c r="C725" s="26" t="s">
        <v>72</v>
      </c>
      <c r="D725" s="26" t="n">
        <v>480</v>
      </c>
      <c r="E725" s="26" t="n">
        <v>10</v>
      </c>
      <c r="F725" s="26" t="n">
        <v>4412</v>
      </c>
      <c r="G725" s="26" t="n">
        <v>4187</v>
      </c>
      <c r="H725" s="19" t="n">
        <f aca="false">SUMIFS(Paradas!$E$2:$E$1973,Paradas!$A$2:$A$1973,A725,Paradas!$B$2:$B$1973,B725,Paradas!$C$2:$C$1973,C725)</f>
        <v>0</v>
      </c>
      <c r="I725" s="19" t="n">
        <f aca="false">D725-H725</f>
        <v>480</v>
      </c>
      <c r="J725" s="19" t="n">
        <f aca="false">I725*E725</f>
        <v>4800</v>
      </c>
      <c r="K725" s="16" t="n">
        <f aca="false">IF(D725=0,0,I725/D725)</f>
        <v>1</v>
      </c>
      <c r="L725" s="16" t="n">
        <f aca="false">IF(J725=0,0,F725/J725)</f>
        <v>0.919166666666667</v>
      </c>
      <c r="M725" s="16" t="n">
        <f aca="false">IF(F725=0,0,G725/F725)</f>
        <v>0.949002719854941</v>
      </c>
      <c r="N725" s="16" t="n">
        <f aca="false">K725*L725*M725</f>
        <v>0.872291666666667</v>
      </c>
      <c r="O725" s="19" t="n">
        <f aca="false">MONTH(A725)</f>
        <v>9</v>
      </c>
      <c r="P725" s="19" t="n">
        <f aca="false">INT((A725-DATE(2026,7,1))/7)+1</f>
        <v>12</v>
      </c>
    </row>
    <row r="726" customFormat="false" ht="15" hidden="false" customHeight="false" outlineLevel="0" collapsed="false">
      <c r="A726" s="25" t="n">
        <v>46284</v>
      </c>
      <c r="B726" s="26" t="s">
        <v>17</v>
      </c>
      <c r="C726" s="26" t="s">
        <v>73</v>
      </c>
      <c r="D726" s="26" t="n">
        <v>480</v>
      </c>
      <c r="E726" s="26" t="n">
        <v>10</v>
      </c>
      <c r="F726" s="26" t="n">
        <v>2567</v>
      </c>
      <c r="G726" s="26" t="n">
        <v>2479</v>
      </c>
      <c r="H726" s="19" t="n">
        <f aca="false">SUMIFS(Paradas!$E$2:$E$1973,Paradas!$A$2:$A$1973,A726,Paradas!$B$2:$B$1973,B726,Paradas!$C$2:$C$1973,C726)</f>
        <v>217</v>
      </c>
      <c r="I726" s="19" t="n">
        <f aca="false">D726-H726</f>
        <v>263</v>
      </c>
      <c r="J726" s="19" t="n">
        <f aca="false">I726*E726</f>
        <v>2630</v>
      </c>
      <c r="K726" s="16" t="n">
        <f aca="false">IF(D726=0,0,I726/D726)</f>
        <v>0.547916666666667</v>
      </c>
      <c r="L726" s="16" t="n">
        <f aca="false">IF(J726=0,0,F726/J726)</f>
        <v>0.976045627376426</v>
      </c>
      <c r="M726" s="16" t="n">
        <f aca="false">IF(F726=0,0,G726/F726)</f>
        <v>0.965718737826256</v>
      </c>
      <c r="N726" s="16" t="n">
        <f aca="false">K726*L726*M726</f>
        <v>0.516458333333333</v>
      </c>
      <c r="O726" s="19" t="n">
        <f aca="false">MONTH(A726)</f>
        <v>9</v>
      </c>
      <c r="P726" s="19" t="n">
        <f aca="false">INT((A726-DATE(2026,7,1))/7)+1</f>
        <v>12</v>
      </c>
    </row>
    <row r="727" customFormat="false" ht="15" hidden="false" customHeight="false" outlineLevel="0" collapsed="false">
      <c r="A727" s="25" t="n">
        <v>46284</v>
      </c>
      <c r="B727" s="26" t="s">
        <v>17</v>
      </c>
      <c r="C727" s="26" t="s">
        <v>74</v>
      </c>
      <c r="D727" s="26" t="n">
        <v>480</v>
      </c>
      <c r="E727" s="26" t="n">
        <v>10</v>
      </c>
      <c r="F727" s="26" t="n">
        <v>2757</v>
      </c>
      <c r="G727" s="26" t="n">
        <v>2582</v>
      </c>
      <c r="H727" s="19" t="n">
        <f aca="false">SUMIFS(Paradas!$E$2:$E$1973,Paradas!$A$2:$A$1973,A727,Paradas!$B$2:$B$1973,B727,Paradas!$C$2:$C$1973,C727)</f>
        <v>158</v>
      </c>
      <c r="I727" s="19" t="n">
        <f aca="false">D727-H727</f>
        <v>322</v>
      </c>
      <c r="J727" s="19" t="n">
        <f aca="false">I727*E727</f>
        <v>3220</v>
      </c>
      <c r="K727" s="16" t="n">
        <f aca="false">IF(D727=0,0,I727/D727)</f>
        <v>0.670833333333333</v>
      </c>
      <c r="L727" s="16" t="n">
        <f aca="false">IF(J727=0,0,F727/J727)</f>
        <v>0.856211180124224</v>
      </c>
      <c r="M727" s="16" t="n">
        <f aca="false">IF(F727=0,0,G727/F727)</f>
        <v>0.936525208560029</v>
      </c>
      <c r="N727" s="16" t="n">
        <f aca="false">K727*L727*M727</f>
        <v>0.537916666666667</v>
      </c>
      <c r="O727" s="19" t="n">
        <f aca="false">MONTH(A727)</f>
        <v>9</v>
      </c>
      <c r="P727" s="19" t="n">
        <f aca="false">INT((A727-DATE(2026,7,1))/7)+1</f>
        <v>12</v>
      </c>
    </row>
    <row r="728" customFormat="false" ht="15" hidden="false" customHeight="false" outlineLevel="0" collapsed="false">
      <c r="A728" s="25" t="n">
        <v>46284</v>
      </c>
      <c r="B728" s="26" t="s">
        <v>18</v>
      </c>
      <c r="C728" s="26" t="s">
        <v>72</v>
      </c>
      <c r="D728" s="26" t="n">
        <v>480</v>
      </c>
      <c r="E728" s="26" t="n">
        <v>8</v>
      </c>
      <c r="F728" s="26" t="n">
        <v>2496</v>
      </c>
      <c r="G728" s="26" t="n">
        <v>2431</v>
      </c>
      <c r="H728" s="19" t="n">
        <f aca="false">SUMIFS(Paradas!$E$2:$E$1973,Paradas!$A$2:$A$1973,A728,Paradas!$B$2:$B$1973,B728,Paradas!$C$2:$C$1973,C728)</f>
        <v>140</v>
      </c>
      <c r="I728" s="19" t="n">
        <f aca="false">D728-H728</f>
        <v>340</v>
      </c>
      <c r="J728" s="19" t="n">
        <f aca="false">I728*E728</f>
        <v>2720</v>
      </c>
      <c r="K728" s="16" t="n">
        <f aca="false">IF(D728=0,0,I728/D728)</f>
        <v>0.708333333333333</v>
      </c>
      <c r="L728" s="16" t="n">
        <f aca="false">IF(J728=0,0,F728/J728)</f>
        <v>0.917647058823529</v>
      </c>
      <c r="M728" s="16" t="n">
        <f aca="false">IF(F728=0,0,G728/F728)</f>
        <v>0.973958333333333</v>
      </c>
      <c r="N728" s="16" t="n">
        <f aca="false">K728*L728*M728</f>
        <v>0.633072916666667</v>
      </c>
      <c r="O728" s="19" t="n">
        <f aca="false">MONTH(A728)</f>
        <v>9</v>
      </c>
      <c r="P728" s="19" t="n">
        <f aca="false">INT((A728-DATE(2026,7,1))/7)+1</f>
        <v>12</v>
      </c>
    </row>
    <row r="729" customFormat="false" ht="15" hidden="false" customHeight="false" outlineLevel="0" collapsed="false">
      <c r="A729" s="25" t="n">
        <v>46284</v>
      </c>
      <c r="B729" s="26" t="s">
        <v>18</v>
      </c>
      <c r="C729" s="26" t="s">
        <v>73</v>
      </c>
      <c r="D729" s="26" t="n">
        <v>480</v>
      </c>
      <c r="E729" s="26" t="n">
        <v>8</v>
      </c>
      <c r="F729" s="26" t="n">
        <v>3388</v>
      </c>
      <c r="G729" s="26" t="n">
        <v>3238</v>
      </c>
      <c r="H729" s="19" t="n">
        <f aca="false">SUMIFS(Paradas!$E$2:$E$1973,Paradas!$A$2:$A$1973,A729,Paradas!$B$2:$B$1973,B729,Paradas!$C$2:$C$1973,C729)</f>
        <v>0</v>
      </c>
      <c r="I729" s="19" t="n">
        <f aca="false">D729-H729</f>
        <v>480</v>
      </c>
      <c r="J729" s="19" t="n">
        <f aca="false">I729*E729</f>
        <v>3840</v>
      </c>
      <c r="K729" s="16" t="n">
        <f aca="false">IF(D729=0,0,I729/D729)</f>
        <v>1</v>
      </c>
      <c r="L729" s="16" t="n">
        <f aca="false">IF(J729=0,0,F729/J729)</f>
        <v>0.882291666666667</v>
      </c>
      <c r="M729" s="16" t="n">
        <f aca="false">IF(F729=0,0,G729/F729)</f>
        <v>0.955726092089729</v>
      </c>
      <c r="N729" s="16" t="n">
        <f aca="false">K729*L729*M729</f>
        <v>0.843229166666667</v>
      </c>
      <c r="O729" s="19" t="n">
        <f aca="false">MONTH(A729)</f>
        <v>9</v>
      </c>
      <c r="P729" s="19" t="n">
        <f aca="false">INT((A729-DATE(2026,7,1))/7)+1</f>
        <v>12</v>
      </c>
    </row>
    <row r="730" customFormat="false" ht="15" hidden="false" customHeight="false" outlineLevel="0" collapsed="false">
      <c r="A730" s="25" t="n">
        <v>46284</v>
      </c>
      <c r="B730" s="26" t="s">
        <v>18</v>
      </c>
      <c r="C730" s="26" t="s">
        <v>74</v>
      </c>
      <c r="D730" s="26" t="n">
        <v>480</v>
      </c>
      <c r="E730" s="26" t="n">
        <v>8</v>
      </c>
      <c r="F730" s="26" t="n">
        <v>2387</v>
      </c>
      <c r="G730" s="26" t="n">
        <v>2314</v>
      </c>
      <c r="H730" s="19" t="n">
        <f aca="false">SUMIFS(Paradas!$E$2:$E$1973,Paradas!$A$2:$A$1973,A730,Paradas!$B$2:$B$1973,B730,Paradas!$C$2:$C$1973,C730)</f>
        <v>121</v>
      </c>
      <c r="I730" s="19" t="n">
        <f aca="false">D730-H730</f>
        <v>359</v>
      </c>
      <c r="J730" s="19" t="n">
        <f aca="false">I730*E730</f>
        <v>2872</v>
      </c>
      <c r="K730" s="16" t="n">
        <f aca="false">IF(D730=0,0,I730/D730)</f>
        <v>0.747916666666667</v>
      </c>
      <c r="L730" s="16" t="n">
        <f aca="false">IF(J730=0,0,F730/J730)</f>
        <v>0.831128133704735</v>
      </c>
      <c r="M730" s="16" t="n">
        <f aca="false">IF(F730=0,0,G730/F730)</f>
        <v>0.969417679095099</v>
      </c>
      <c r="N730" s="16" t="n">
        <f aca="false">K730*L730*M730</f>
        <v>0.602604166666667</v>
      </c>
      <c r="O730" s="19" t="n">
        <f aca="false">MONTH(A730)</f>
        <v>9</v>
      </c>
      <c r="P730" s="19" t="n">
        <f aca="false">INT((A730-DATE(2026,7,1))/7)+1</f>
        <v>12</v>
      </c>
    </row>
    <row r="731" customFormat="false" ht="15" hidden="false" customHeight="false" outlineLevel="0" collapsed="false">
      <c r="A731" s="25" t="n">
        <v>46285</v>
      </c>
      <c r="B731" s="26" t="s">
        <v>16</v>
      </c>
      <c r="C731" s="26" t="s">
        <v>72</v>
      </c>
      <c r="D731" s="26" t="n">
        <v>480</v>
      </c>
      <c r="E731" s="26" t="n">
        <v>12</v>
      </c>
      <c r="F731" s="26" t="n">
        <v>4825</v>
      </c>
      <c r="G731" s="26" t="n">
        <v>4734</v>
      </c>
      <c r="H731" s="19" t="n">
        <f aca="false">SUMIFS(Paradas!$E$2:$E$1973,Paradas!$A$2:$A$1973,A731,Paradas!$B$2:$B$1973,B731,Paradas!$C$2:$C$1973,C731)</f>
        <v>47</v>
      </c>
      <c r="I731" s="19" t="n">
        <f aca="false">D731-H731</f>
        <v>433</v>
      </c>
      <c r="J731" s="19" t="n">
        <f aca="false">I731*E731</f>
        <v>5196</v>
      </c>
      <c r="K731" s="16" t="n">
        <f aca="false">IF(D731=0,0,I731/D731)</f>
        <v>0.902083333333333</v>
      </c>
      <c r="L731" s="16" t="n">
        <f aca="false">IF(J731=0,0,F731/J731)</f>
        <v>0.928598922247883</v>
      </c>
      <c r="M731" s="16" t="n">
        <f aca="false">IF(F731=0,0,G731/F731)</f>
        <v>0.981139896373057</v>
      </c>
      <c r="N731" s="16" t="n">
        <f aca="false">K731*L731*M731</f>
        <v>0.821875</v>
      </c>
      <c r="O731" s="19" t="n">
        <f aca="false">MONTH(A731)</f>
        <v>9</v>
      </c>
      <c r="P731" s="19" t="n">
        <f aca="false">INT((A731-DATE(2026,7,1))/7)+1</f>
        <v>12</v>
      </c>
    </row>
    <row r="732" customFormat="false" ht="15" hidden="false" customHeight="false" outlineLevel="0" collapsed="false">
      <c r="A732" s="25" t="n">
        <v>46285</v>
      </c>
      <c r="B732" s="26" t="s">
        <v>16</v>
      </c>
      <c r="C732" s="26" t="s">
        <v>73</v>
      </c>
      <c r="D732" s="26" t="n">
        <v>480</v>
      </c>
      <c r="E732" s="26" t="n">
        <v>12</v>
      </c>
      <c r="F732" s="26" t="n">
        <v>3745</v>
      </c>
      <c r="G732" s="26" t="n">
        <v>3703</v>
      </c>
      <c r="H732" s="19" t="n">
        <f aca="false">SUMIFS(Paradas!$E$2:$E$1973,Paradas!$A$2:$A$1973,A732,Paradas!$B$2:$B$1973,B732,Paradas!$C$2:$C$1973,C732)</f>
        <v>126</v>
      </c>
      <c r="I732" s="19" t="n">
        <f aca="false">D732-H732</f>
        <v>354</v>
      </c>
      <c r="J732" s="19" t="n">
        <f aca="false">I732*E732</f>
        <v>4248</v>
      </c>
      <c r="K732" s="16" t="n">
        <f aca="false">IF(D732=0,0,I732/D732)</f>
        <v>0.7375</v>
      </c>
      <c r="L732" s="16" t="n">
        <f aca="false">IF(J732=0,0,F732/J732)</f>
        <v>0.881591337099812</v>
      </c>
      <c r="M732" s="16" t="n">
        <f aca="false">IF(F732=0,0,G732/F732)</f>
        <v>0.988785046728972</v>
      </c>
      <c r="N732" s="16" t="n">
        <f aca="false">K732*L732*M732</f>
        <v>0.642881944444445</v>
      </c>
      <c r="O732" s="19" t="n">
        <f aca="false">MONTH(A732)</f>
        <v>9</v>
      </c>
      <c r="P732" s="19" t="n">
        <f aca="false">INT((A732-DATE(2026,7,1))/7)+1</f>
        <v>12</v>
      </c>
    </row>
    <row r="733" customFormat="false" ht="15" hidden="false" customHeight="false" outlineLevel="0" collapsed="false">
      <c r="A733" s="25" t="n">
        <v>46285</v>
      </c>
      <c r="B733" s="26" t="s">
        <v>16</v>
      </c>
      <c r="C733" s="26" t="s">
        <v>74</v>
      </c>
      <c r="D733" s="26" t="n">
        <v>480</v>
      </c>
      <c r="E733" s="26" t="n">
        <v>12</v>
      </c>
      <c r="F733" s="26" t="n">
        <v>4585</v>
      </c>
      <c r="G733" s="26" t="n">
        <v>4475</v>
      </c>
      <c r="H733" s="19" t="n">
        <f aca="false">SUMIFS(Paradas!$E$2:$E$1973,Paradas!$A$2:$A$1973,A733,Paradas!$B$2:$B$1973,B733,Paradas!$C$2:$C$1973,C733)</f>
        <v>31</v>
      </c>
      <c r="I733" s="19" t="n">
        <f aca="false">D733-H733</f>
        <v>449</v>
      </c>
      <c r="J733" s="19" t="n">
        <f aca="false">I733*E733</f>
        <v>5388</v>
      </c>
      <c r="K733" s="16" t="n">
        <f aca="false">IF(D733=0,0,I733/D733)</f>
        <v>0.935416666666667</v>
      </c>
      <c r="L733" s="16" t="n">
        <f aca="false">IF(J733=0,0,F733/J733)</f>
        <v>0.850965107646622</v>
      </c>
      <c r="M733" s="16" t="n">
        <f aca="false">IF(F733=0,0,G733/F733)</f>
        <v>0.976008724100327</v>
      </c>
      <c r="N733" s="16" t="n">
        <f aca="false">K733*L733*M733</f>
        <v>0.776909722222222</v>
      </c>
      <c r="O733" s="19" t="n">
        <f aca="false">MONTH(A733)</f>
        <v>9</v>
      </c>
      <c r="P733" s="19" t="n">
        <f aca="false">INT((A733-DATE(2026,7,1))/7)+1</f>
        <v>12</v>
      </c>
    </row>
    <row r="734" customFormat="false" ht="15" hidden="false" customHeight="false" outlineLevel="0" collapsed="false">
      <c r="A734" s="25" t="n">
        <v>46285</v>
      </c>
      <c r="B734" s="26" t="s">
        <v>17</v>
      </c>
      <c r="C734" s="26" t="s">
        <v>72</v>
      </c>
      <c r="D734" s="26" t="n">
        <v>480</v>
      </c>
      <c r="E734" s="26" t="n">
        <v>10</v>
      </c>
      <c r="F734" s="26" t="n">
        <v>2826</v>
      </c>
      <c r="G734" s="26" t="n">
        <v>2718</v>
      </c>
      <c r="H734" s="19" t="n">
        <f aca="false">SUMIFS(Paradas!$E$2:$E$1973,Paradas!$A$2:$A$1973,A734,Paradas!$B$2:$B$1973,B734,Paradas!$C$2:$C$1973,C734)</f>
        <v>175</v>
      </c>
      <c r="I734" s="19" t="n">
        <f aca="false">D734-H734</f>
        <v>305</v>
      </c>
      <c r="J734" s="19" t="n">
        <f aca="false">I734*E734</f>
        <v>3050</v>
      </c>
      <c r="K734" s="16" t="n">
        <f aca="false">IF(D734=0,0,I734/D734)</f>
        <v>0.635416666666667</v>
      </c>
      <c r="L734" s="16" t="n">
        <f aca="false">IF(J734=0,0,F734/J734)</f>
        <v>0.92655737704918</v>
      </c>
      <c r="M734" s="16" t="n">
        <f aca="false">IF(F734=0,0,G734/F734)</f>
        <v>0.961783439490446</v>
      </c>
      <c r="N734" s="16" t="n">
        <f aca="false">K734*L734*M734</f>
        <v>0.56625</v>
      </c>
      <c r="O734" s="19" t="n">
        <f aca="false">MONTH(A734)</f>
        <v>9</v>
      </c>
      <c r="P734" s="19" t="n">
        <f aca="false">INT((A734-DATE(2026,7,1))/7)+1</f>
        <v>12</v>
      </c>
    </row>
    <row r="735" customFormat="false" ht="15" hidden="false" customHeight="false" outlineLevel="0" collapsed="false">
      <c r="A735" s="25" t="n">
        <v>46285</v>
      </c>
      <c r="B735" s="26" t="s">
        <v>17</v>
      </c>
      <c r="C735" s="26" t="s">
        <v>73</v>
      </c>
      <c r="D735" s="26" t="n">
        <v>480</v>
      </c>
      <c r="E735" s="26" t="n">
        <v>10</v>
      </c>
      <c r="F735" s="26" t="n">
        <v>3551</v>
      </c>
      <c r="G735" s="26" t="n">
        <v>3400</v>
      </c>
      <c r="H735" s="19" t="n">
        <f aca="false">SUMIFS(Paradas!$E$2:$E$1973,Paradas!$A$2:$A$1973,A735,Paradas!$B$2:$B$1973,B735,Paradas!$C$2:$C$1973,C735)</f>
        <v>77</v>
      </c>
      <c r="I735" s="19" t="n">
        <f aca="false">D735-H735</f>
        <v>403</v>
      </c>
      <c r="J735" s="19" t="n">
        <f aca="false">I735*E735</f>
        <v>4030</v>
      </c>
      <c r="K735" s="16" t="n">
        <f aca="false">IF(D735=0,0,I735/D735)</f>
        <v>0.839583333333333</v>
      </c>
      <c r="L735" s="16" t="n">
        <f aca="false">IF(J735=0,0,F735/J735)</f>
        <v>0.881141439205955</v>
      </c>
      <c r="M735" s="16" t="n">
        <f aca="false">IF(F735=0,0,G735/F735)</f>
        <v>0.957476767107857</v>
      </c>
      <c r="N735" s="16" t="n">
        <f aca="false">K735*L735*M735</f>
        <v>0.708333333333333</v>
      </c>
      <c r="O735" s="19" t="n">
        <f aca="false">MONTH(A735)</f>
        <v>9</v>
      </c>
      <c r="P735" s="19" t="n">
        <f aca="false">INT((A735-DATE(2026,7,1))/7)+1</f>
        <v>12</v>
      </c>
    </row>
    <row r="736" customFormat="false" ht="15" hidden="false" customHeight="false" outlineLevel="0" collapsed="false">
      <c r="A736" s="25" t="n">
        <v>46285</v>
      </c>
      <c r="B736" s="26" t="s">
        <v>17</v>
      </c>
      <c r="C736" s="26" t="s">
        <v>74</v>
      </c>
      <c r="D736" s="26" t="n">
        <v>480</v>
      </c>
      <c r="E736" s="26" t="n">
        <v>10</v>
      </c>
      <c r="F736" s="26" t="n">
        <v>3733</v>
      </c>
      <c r="G736" s="26" t="n">
        <v>3572</v>
      </c>
      <c r="H736" s="19" t="n">
        <f aca="false">SUMIFS(Paradas!$E$2:$E$1973,Paradas!$A$2:$A$1973,A736,Paradas!$B$2:$B$1973,B736,Paradas!$C$2:$C$1973,C736)</f>
        <v>72</v>
      </c>
      <c r="I736" s="19" t="n">
        <f aca="false">D736-H736</f>
        <v>408</v>
      </c>
      <c r="J736" s="19" t="n">
        <f aca="false">I736*E736</f>
        <v>4080</v>
      </c>
      <c r="K736" s="16" t="n">
        <f aca="false">IF(D736=0,0,I736/D736)</f>
        <v>0.85</v>
      </c>
      <c r="L736" s="16" t="n">
        <f aca="false">IF(J736=0,0,F736/J736)</f>
        <v>0.914950980392157</v>
      </c>
      <c r="M736" s="16" t="n">
        <f aca="false">IF(F736=0,0,G736/F736)</f>
        <v>0.956871149209751</v>
      </c>
      <c r="N736" s="16" t="n">
        <f aca="false">K736*L736*M736</f>
        <v>0.744166666666667</v>
      </c>
      <c r="O736" s="19" t="n">
        <f aca="false">MONTH(A736)</f>
        <v>9</v>
      </c>
      <c r="P736" s="19" t="n">
        <f aca="false">INT((A736-DATE(2026,7,1))/7)+1</f>
        <v>12</v>
      </c>
    </row>
    <row r="737" customFormat="false" ht="15" hidden="false" customHeight="false" outlineLevel="0" collapsed="false">
      <c r="A737" s="25" t="n">
        <v>46285</v>
      </c>
      <c r="B737" s="26" t="s">
        <v>18</v>
      </c>
      <c r="C737" s="26" t="s">
        <v>72</v>
      </c>
      <c r="D737" s="26" t="n">
        <v>480</v>
      </c>
      <c r="E737" s="26" t="n">
        <v>8</v>
      </c>
      <c r="F737" s="26" t="n">
        <v>2808</v>
      </c>
      <c r="G737" s="26" t="n">
        <v>2765</v>
      </c>
      <c r="H737" s="19" t="n">
        <f aca="false">SUMIFS(Paradas!$E$2:$E$1973,Paradas!$A$2:$A$1973,A737,Paradas!$B$2:$B$1973,B737,Paradas!$C$2:$C$1973,C737)</f>
        <v>70</v>
      </c>
      <c r="I737" s="19" t="n">
        <f aca="false">D737-H737</f>
        <v>410</v>
      </c>
      <c r="J737" s="19" t="n">
        <f aca="false">I737*E737</f>
        <v>3280</v>
      </c>
      <c r="K737" s="16" t="n">
        <f aca="false">IF(D737=0,0,I737/D737)</f>
        <v>0.854166666666667</v>
      </c>
      <c r="L737" s="16" t="n">
        <f aca="false">IF(J737=0,0,F737/J737)</f>
        <v>0.85609756097561</v>
      </c>
      <c r="M737" s="16" t="n">
        <f aca="false">IF(F737=0,0,G737/F737)</f>
        <v>0.98468660968661</v>
      </c>
      <c r="N737" s="16" t="n">
        <f aca="false">K737*L737*M737</f>
        <v>0.720052083333333</v>
      </c>
      <c r="O737" s="19" t="n">
        <f aca="false">MONTH(A737)</f>
        <v>9</v>
      </c>
      <c r="P737" s="19" t="n">
        <f aca="false">INT((A737-DATE(2026,7,1))/7)+1</f>
        <v>12</v>
      </c>
    </row>
    <row r="738" customFormat="false" ht="15" hidden="false" customHeight="false" outlineLevel="0" collapsed="false">
      <c r="A738" s="25" t="n">
        <v>46285</v>
      </c>
      <c r="B738" s="26" t="s">
        <v>18</v>
      </c>
      <c r="C738" s="26" t="s">
        <v>73</v>
      </c>
      <c r="D738" s="26" t="n">
        <v>480</v>
      </c>
      <c r="E738" s="26" t="n">
        <v>8</v>
      </c>
      <c r="F738" s="26" t="n">
        <v>3168</v>
      </c>
      <c r="G738" s="26" t="n">
        <v>3042</v>
      </c>
      <c r="H738" s="19" t="n">
        <f aca="false">SUMIFS(Paradas!$E$2:$E$1973,Paradas!$A$2:$A$1973,A738,Paradas!$B$2:$B$1973,B738,Paradas!$C$2:$C$1973,C738)</f>
        <v>62</v>
      </c>
      <c r="I738" s="19" t="n">
        <f aca="false">D738-H738</f>
        <v>418</v>
      </c>
      <c r="J738" s="19" t="n">
        <f aca="false">I738*E738</f>
        <v>3344</v>
      </c>
      <c r="K738" s="16" t="n">
        <f aca="false">IF(D738=0,0,I738/D738)</f>
        <v>0.870833333333333</v>
      </c>
      <c r="L738" s="16" t="n">
        <f aca="false">IF(J738=0,0,F738/J738)</f>
        <v>0.947368421052632</v>
      </c>
      <c r="M738" s="16" t="n">
        <f aca="false">IF(F738=0,0,G738/F738)</f>
        <v>0.960227272727273</v>
      </c>
      <c r="N738" s="16" t="n">
        <f aca="false">K738*L738*M738</f>
        <v>0.7921875</v>
      </c>
      <c r="O738" s="19" t="n">
        <f aca="false">MONTH(A738)</f>
        <v>9</v>
      </c>
      <c r="P738" s="19" t="n">
        <f aca="false">INT((A738-DATE(2026,7,1))/7)+1</f>
        <v>12</v>
      </c>
    </row>
    <row r="739" customFormat="false" ht="15" hidden="false" customHeight="false" outlineLevel="0" collapsed="false">
      <c r="A739" s="25" t="n">
        <v>46285</v>
      </c>
      <c r="B739" s="26" t="s">
        <v>18</v>
      </c>
      <c r="C739" s="26" t="s">
        <v>74</v>
      </c>
      <c r="D739" s="26" t="n">
        <v>480</v>
      </c>
      <c r="E739" s="26" t="n">
        <v>8</v>
      </c>
      <c r="F739" s="26" t="n">
        <v>2761</v>
      </c>
      <c r="G739" s="26" t="n">
        <v>2738</v>
      </c>
      <c r="H739" s="19" t="n">
        <f aca="false">SUMIFS(Paradas!$E$2:$E$1973,Paradas!$A$2:$A$1973,A739,Paradas!$B$2:$B$1973,B739,Paradas!$C$2:$C$1973,C739)</f>
        <v>43</v>
      </c>
      <c r="I739" s="19" t="n">
        <f aca="false">D739-H739</f>
        <v>437</v>
      </c>
      <c r="J739" s="19" t="n">
        <f aca="false">I739*E739</f>
        <v>3496</v>
      </c>
      <c r="K739" s="16" t="n">
        <f aca="false">IF(D739=0,0,I739/D739)</f>
        <v>0.910416666666667</v>
      </c>
      <c r="L739" s="16" t="n">
        <f aca="false">IF(J739=0,0,F739/J739)</f>
        <v>0.789759725400458</v>
      </c>
      <c r="M739" s="16" t="n">
        <f aca="false">IF(F739=0,0,G739/F739)</f>
        <v>0.991669684896777</v>
      </c>
      <c r="N739" s="16" t="n">
        <f aca="false">K739*L739*M739</f>
        <v>0.713020833333333</v>
      </c>
      <c r="O739" s="19" t="n">
        <f aca="false">MONTH(A739)</f>
        <v>9</v>
      </c>
      <c r="P739" s="19" t="n">
        <f aca="false">INT((A739-DATE(2026,7,1))/7)+1</f>
        <v>12</v>
      </c>
    </row>
    <row r="740" customFormat="false" ht="15" hidden="false" customHeight="false" outlineLevel="0" collapsed="false">
      <c r="A740" s="25" t="n">
        <v>46286</v>
      </c>
      <c r="B740" s="26" t="s">
        <v>16</v>
      </c>
      <c r="C740" s="26" t="s">
        <v>72</v>
      </c>
      <c r="D740" s="26" t="n">
        <v>480</v>
      </c>
      <c r="E740" s="26" t="n">
        <v>12</v>
      </c>
      <c r="F740" s="26" t="n">
        <v>3820</v>
      </c>
      <c r="G740" s="26" t="n">
        <v>3812</v>
      </c>
      <c r="H740" s="19" t="n">
        <f aca="false">SUMIFS(Paradas!$E$2:$E$1973,Paradas!$A$2:$A$1973,A740,Paradas!$B$2:$B$1973,B740,Paradas!$C$2:$C$1973,C740)</f>
        <v>125</v>
      </c>
      <c r="I740" s="19" t="n">
        <f aca="false">D740-H740</f>
        <v>355</v>
      </c>
      <c r="J740" s="19" t="n">
        <f aca="false">I740*E740</f>
        <v>4260</v>
      </c>
      <c r="K740" s="16" t="n">
        <f aca="false">IF(D740=0,0,I740/D740)</f>
        <v>0.739583333333333</v>
      </c>
      <c r="L740" s="16" t="n">
        <f aca="false">IF(J740=0,0,F740/J740)</f>
        <v>0.896713615023474</v>
      </c>
      <c r="M740" s="16" t="n">
        <f aca="false">IF(F740=0,0,G740/F740)</f>
        <v>0.997905759162304</v>
      </c>
      <c r="N740" s="16" t="n">
        <f aca="false">K740*L740*M740</f>
        <v>0.661805555555556</v>
      </c>
      <c r="O740" s="19" t="n">
        <f aca="false">MONTH(A740)</f>
        <v>9</v>
      </c>
      <c r="P740" s="19" t="n">
        <f aca="false">INT((A740-DATE(2026,7,1))/7)+1</f>
        <v>12</v>
      </c>
    </row>
    <row r="741" customFormat="false" ht="15" hidden="false" customHeight="false" outlineLevel="0" collapsed="false">
      <c r="A741" s="25" t="n">
        <v>46286</v>
      </c>
      <c r="B741" s="26" t="s">
        <v>16</v>
      </c>
      <c r="C741" s="26" t="s">
        <v>73</v>
      </c>
      <c r="D741" s="26" t="n">
        <v>480</v>
      </c>
      <c r="E741" s="26" t="n">
        <v>12</v>
      </c>
      <c r="F741" s="26" t="n">
        <v>4174</v>
      </c>
      <c r="G741" s="26" t="n">
        <v>4122</v>
      </c>
      <c r="H741" s="19" t="n">
        <f aca="false">SUMIFS(Paradas!$E$2:$E$1973,Paradas!$A$2:$A$1973,A741,Paradas!$B$2:$B$1973,B741,Paradas!$C$2:$C$1973,C741)</f>
        <v>89</v>
      </c>
      <c r="I741" s="19" t="n">
        <f aca="false">D741-H741</f>
        <v>391</v>
      </c>
      <c r="J741" s="19" t="n">
        <f aca="false">I741*E741</f>
        <v>4692</v>
      </c>
      <c r="K741" s="16" t="n">
        <f aca="false">IF(D741=0,0,I741/D741)</f>
        <v>0.814583333333333</v>
      </c>
      <c r="L741" s="16" t="n">
        <f aca="false">IF(J741=0,0,F741/J741)</f>
        <v>0.889599317988065</v>
      </c>
      <c r="M741" s="16" t="n">
        <f aca="false">IF(F741=0,0,G741/F741)</f>
        <v>0.987541926209871</v>
      </c>
      <c r="N741" s="16" t="n">
        <f aca="false">K741*L741*M741</f>
        <v>0.715625</v>
      </c>
      <c r="O741" s="19" t="n">
        <f aca="false">MONTH(A741)</f>
        <v>9</v>
      </c>
      <c r="P741" s="19" t="n">
        <f aca="false">INT((A741-DATE(2026,7,1))/7)+1</f>
        <v>12</v>
      </c>
    </row>
    <row r="742" customFormat="false" ht="15" hidden="false" customHeight="false" outlineLevel="0" collapsed="false">
      <c r="A742" s="25" t="n">
        <v>46286</v>
      </c>
      <c r="B742" s="26" t="s">
        <v>16</v>
      </c>
      <c r="C742" s="26" t="s">
        <v>74</v>
      </c>
      <c r="D742" s="26" t="n">
        <v>480</v>
      </c>
      <c r="E742" s="26" t="n">
        <v>12</v>
      </c>
      <c r="F742" s="26" t="n">
        <v>4926</v>
      </c>
      <c r="G742" s="26" t="n">
        <v>4898</v>
      </c>
      <c r="H742" s="19" t="n">
        <f aca="false">SUMIFS(Paradas!$E$2:$E$1973,Paradas!$A$2:$A$1973,A742,Paradas!$B$2:$B$1973,B742,Paradas!$C$2:$C$1973,C742)</f>
        <v>21</v>
      </c>
      <c r="I742" s="19" t="n">
        <f aca="false">D742-H742</f>
        <v>459</v>
      </c>
      <c r="J742" s="19" t="n">
        <f aca="false">I742*E742</f>
        <v>5508</v>
      </c>
      <c r="K742" s="16" t="n">
        <f aca="false">IF(D742=0,0,I742/D742)</f>
        <v>0.95625</v>
      </c>
      <c r="L742" s="16" t="n">
        <f aca="false">IF(J742=0,0,F742/J742)</f>
        <v>0.894335511982571</v>
      </c>
      <c r="M742" s="16" t="n">
        <f aca="false">IF(F742=0,0,G742/F742)</f>
        <v>0.994315874949249</v>
      </c>
      <c r="N742" s="16" t="n">
        <f aca="false">K742*L742*M742</f>
        <v>0.850347222222222</v>
      </c>
      <c r="O742" s="19" t="n">
        <f aca="false">MONTH(A742)</f>
        <v>9</v>
      </c>
      <c r="P742" s="19" t="n">
        <f aca="false">INT((A742-DATE(2026,7,1))/7)+1</f>
        <v>12</v>
      </c>
    </row>
    <row r="743" customFormat="false" ht="15" hidden="false" customHeight="false" outlineLevel="0" collapsed="false">
      <c r="A743" s="25" t="n">
        <v>46286</v>
      </c>
      <c r="B743" s="26" t="s">
        <v>17</v>
      </c>
      <c r="C743" s="26" t="s">
        <v>72</v>
      </c>
      <c r="D743" s="26" t="n">
        <v>480</v>
      </c>
      <c r="E743" s="26" t="n">
        <v>10</v>
      </c>
      <c r="F743" s="26" t="n">
        <v>2781</v>
      </c>
      <c r="G743" s="26" t="n">
        <v>2653</v>
      </c>
      <c r="H743" s="19" t="n">
        <f aca="false">SUMIFS(Paradas!$E$2:$E$1973,Paradas!$A$2:$A$1973,A743,Paradas!$B$2:$B$1973,B743,Paradas!$C$2:$C$1973,C743)</f>
        <v>166</v>
      </c>
      <c r="I743" s="19" t="n">
        <f aca="false">D743-H743</f>
        <v>314</v>
      </c>
      <c r="J743" s="19" t="n">
        <f aca="false">I743*E743</f>
        <v>3140</v>
      </c>
      <c r="K743" s="16" t="n">
        <f aca="false">IF(D743=0,0,I743/D743)</f>
        <v>0.654166666666667</v>
      </c>
      <c r="L743" s="16" t="n">
        <f aca="false">IF(J743=0,0,F743/J743)</f>
        <v>0.885668789808917</v>
      </c>
      <c r="M743" s="16" t="n">
        <f aca="false">IF(F743=0,0,G743/F743)</f>
        <v>0.953973390866595</v>
      </c>
      <c r="N743" s="16" t="n">
        <f aca="false">K743*L743*M743</f>
        <v>0.552708333333333</v>
      </c>
      <c r="O743" s="19" t="n">
        <f aca="false">MONTH(A743)</f>
        <v>9</v>
      </c>
      <c r="P743" s="19" t="n">
        <f aca="false">INT((A743-DATE(2026,7,1))/7)+1</f>
        <v>12</v>
      </c>
    </row>
    <row r="744" customFormat="false" ht="15" hidden="false" customHeight="false" outlineLevel="0" collapsed="false">
      <c r="A744" s="25" t="n">
        <v>46286</v>
      </c>
      <c r="B744" s="26" t="s">
        <v>17</v>
      </c>
      <c r="C744" s="26" t="s">
        <v>73</v>
      </c>
      <c r="D744" s="26" t="n">
        <v>480</v>
      </c>
      <c r="E744" s="26" t="n">
        <v>10</v>
      </c>
      <c r="F744" s="26" t="n">
        <v>2398</v>
      </c>
      <c r="G744" s="26" t="n">
        <v>2275</v>
      </c>
      <c r="H744" s="19" t="n">
        <f aca="false">SUMIFS(Paradas!$E$2:$E$1973,Paradas!$A$2:$A$1973,A744,Paradas!$B$2:$B$1973,B744,Paradas!$C$2:$C$1973,C744)</f>
        <v>202</v>
      </c>
      <c r="I744" s="19" t="n">
        <f aca="false">D744-H744</f>
        <v>278</v>
      </c>
      <c r="J744" s="19" t="n">
        <f aca="false">I744*E744</f>
        <v>2780</v>
      </c>
      <c r="K744" s="16" t="n">
        <f aca="false">IF(D744=0,0,I744/D744)</f>
        <v>0.579166666666667</v>
      </c>
      <c r="L744" s="16" t="n">
        <f aca="false">IF(J744=0,0,F744/J744)</f>
        <v>0.862589928057554</v>
      </c>
      <c r="M744" s="16" t="n">
        <f aca="false">IF(F744=0,0,G744/F744)</f>
        <v>0.948707256046706</v>
      </c>
      <c r="N744" s="16" t="n">
        <f aca="false">K744*L744*M744</f>
        <v>0.473958333333333</v>
      </c>
      <c r="O744" s="19" t="n">
        <f aca="false">MONTH(A744)</f>
        <v>9</v>
      </c>
      <c r="P744" s="19" t="n">
        <f aca="false">INT((A744-DATE(2026,7,1))/7)+1</f>
        <v>12</v>
      </c>
    </row>
    <row r="745" customFormat="false" ht="15" hidden="false" customHeight="false" outlineLevel="0" collapsed="false">
      <c r="A745" s="25" t="n">
        <v>46286</v>
      </c>
      <c r="B745" s="26" t="s">
        <v>17</v>
      </c>
      <c r="C745" s="26" t="s">
        <v>74</v>
      </c>
      <c r="D745" s="26" t="n">
        <v>480</v>
      </c>
      <c r="E745" s="26" t="n">
        <v>10</v>
      </c>
      <c r="F745" s="26" t="n">
        <v>3329</v>
      </c>
      <c r="G745" s="26" t="n">
        <v>3223</v>
      </c>
      <c r="H745" s="19" t="n">
        <f aca="false">SUMIFS(Paradas!$E$2:$E$1973,Paradas!$A$2:$A$1973,A745,Paradas!$B$2:$B$1973,B745,Paradas!$C$2:$C$1973,C745)</f>
        <v>58</v>
      </c>
      <c r="I745" s="19" t="n">
        <f aca="false">D745-H745</f>
        <v>422</v>
      </c>
      <c r="J745" s="19" t="n">
        <f aca="false">I745*E745</f>
        <v>4220</v>
      </c>
      <c r="K745" s="16" t="n">
        <f aca="false">IF(D745=0,0,I745/D745)</f>
        <v>0.879166666666667</v>
      </c>
      <c r="L745" s="16" t="n">
        <f aca="false">IF(J745=0,0,F745/J745)</f>
        <v>0.788862559241706</v>
      </c>
      <c r="M745" s="16" t="n">
        <f aca="false">IF(F745=0,0,G745/F745)</f>
        <v>0.968158606188045</v>
      </c>
      <c r="N745" s="16" t="n">
        <f aca="false">K745*L745*M745</f>
        <v>0.671458333333333</v>
      </c>
      <c r="O745" s="19" t="n">
        <f aca="false">MONTH(A745)</f>
        <v>9</v>
      </c>
      <c r="P745" s="19" t="n">
        <f aca="false">INT((A745-DATE(2026,7,1))/7)+1</f>
        <v>12</v>
      </c>
    </row>
    <row r="746" customFormat="false" ht="15" hidden="false" customHeight="false" outlineLevel="0" collapsed="false">
      <c r="A746" s="25" t="n">
        <v>46286</v>
      </c>
      <c r="B746" s="26" t="s">
        <v>18</v>
      </c>
      <c r="C746" s="26" t="s">
        <v>72</v>
      </c>
      <c r="D746" s="26" t="n">
        <v>480</v>
      </c>
      <c r="E746" s="26" t="n">
        <v>8</v>
      </c>
      <c r="F746" s="26" t="n">
        <v>3363</v>
      </c>
      <c r="G746" s="26" t="n">
        <v>3240</v>
      </c>
      <c r="H746" s="19" t="n">
        <f aca="false">SUMIFS(Paradas!$E$2:$E$1973,Paradas!$A$2:$A$1973,A746,Paradas!$B$2:$B$1973,B746,Paradas!$C$2:$C$1973,C746)</f>
        <v>0</v>
      </c>
      <c r="I746" s="19" t="n">
        <f aca="false">D746-H746</f>
        <v>480</v>
      </c>
      <c r="J746" s="19" t="n">
        <f aca="false">I746*E746</f>
        <v>3840</v>
      </c>
      <c r="K746" s="16" t="n">
        <f aca="false">IF(D746=0,0,I746/D746)</f>
        <v>1</v>
      </c>
      <c r="L746" s="16" t="n">
        <f aca="false">IF(J746=0,0,F746/J746)</f>
        <v>0.87578125</v>
      </c>
      <c r="M746" s="16" t="n">
        <f aca="false">IF(F746=0,0,G746/F746)</f>
        <v>0.96342551293488</v>
      </c>
      <c r="N746" s="16" t="n">
        <f aca="false">K746*L746*M746</f>
        <v>0.84375</v>
      </c>
      <c r="O746" s="19" t="n">
        <f aca="false">MONTH(A746)</f>
        <v>9</v>
      </c>
      <c r="P746" s="19" t="n">
        <f aca="false">INT((A746-DATE(2026,7,1))/7)+1</f>
        <v>12</v>
      </c>
    </row>
    <row r="747" customFormat="false" ht="15" hidden="false" customHeight="false" outlineLevel="0" collapsed="false">
      <c r="A747" s="25" t="n">
        <v>46286</v>
      </c>
      <c r="B747" s="26" t="s">
        <v>18</v>
      </c>
      <c r="C747" s="26" t="s">
        <v>73</v>
      </c>
      <c r="D747" s="26" t="n">
        <v>480</v>
      </c>
      <c r="E747" s="26" t="n">
        <v>8</v>
      </c>
      <c r="F747" s="26" t="n">
        <v>1977</v>
      </c>
      <c r="G747" s="26" t="n">
        <v>1941</v>
      </c>
      <c r="H747" s="19" t="n">
        <f aca="false">SUMIFS(Paradas!$E$2:$E$1973,Paradas!$A$2:$A$1973,A747,Paradas!$B$2:$B$1973,B747,Paradas!$C$2:$C$1973,C747)</f>
        <v>196</v>
      </c>
      <c r="I747" s="19" t="n">
        <f aca="false">D747-H747</f>
        <v>284</v>
      </c>
      <c r="J747" s="19" t="n">
        <f aca="false">I747*E747</f>
        <v>2272</v>
      </c>
      <c r="K747" s="16" t="n">
        <f aca="false">IF(D747=0,0,I747/D747)</f>
        <v>0.591666666666667</v>
      </c>
      <c r="L747" s="16" t="n">
        <f aca="false">IF(J747=0,0,F747/J747)</f>
        <v>0.870158450704225</v>
      </c>
      <c r="M747" s="16" t="n">
        <f aca="false">IF(F747=0,0,G747/F747)</f>
        <v>0.981790591805766</v>
      </c>
      <c r="N747" s="16" t="n">
        <f aca="false">K747*L747*M747</f>
        <v>0.50546875</v>
      </c>
      <c r="O747" s="19" t="n">
        <f aca="false">MONTH(A747)</f>
        <v>9</v>
      </c>
      <c r="P747" s="19" t="n">
        <f aca="false">INT((A747-DATE(2026,7,1))/7)+1</f>
        <v>12</v>
      </c>
    </row>
    <row r="748" customFormat="false" ht="15" hidden="false" customHeight="false" outlineLevel="0" collapsed="false">
      <c r="A748" s="25" t="n">
        <v>46286</v>
      </c>
      <c r="B748" s="26" t="s">
        <v>18</v>
      </c>
      <c r="C748" s="26" t="s">
        <v>74</v>
      </c>
      <c r="D748" s="26" t="n">
        <v>480</v>
      </c>
      <c r="E748" s="26" t="n">
        <v>8</v>
      </c>
      <c r="F748" s="26" t="n">
        <v>2701</v>
      </c>
      <c r="G748" s="26" t="n">
        <v>2585</v>
      </c>
      <c r="H748" s="19" t="n">
        <f aca="false">SUMIFS(Paradas!$E$2:$E$1973,Paradas!$A$2:$A$1973,A748,Paradas!$B$2:$B$1973,B748,Paradas!$C$2:$C$1973,C748)</f>
        <v>71</v>
      </c>
      <c r="I748" s="19" t="n">
        <f aca="false">D748-H748</f>
        <v>409</v>
      </c>
      <c r="J748" s="19" t="n">
        <f aca="false">I748*E748</f>
        <v>3272</v>
      </c>
      <c r="K748" s="16" t="n">
        <f aca="false">IF(D748=0,0,I748/D748)</f>
        <v>0.852083333333333</v>
      </c>
      <c r="L748" s="16" t="n">
        <f aca="false">IF(J748=0,0,F748/J748)</f>
        <v>0.825488997555012</v>
      </c>
      <c r="M748" s="16" t="n">
        <f aca="false">IF(F748=0,0,G748/F748)</f>
        <v>0.957052943354313</v>
      </c>
      <c r="N748" s="16" t="n">
        <f aca="false">K748*L748*M748</f>
        <v>0.673177083333333</v>
      </c>
      <c r="O748" s="19" t="n">
        <f aca="false">MONTH(A748)</f>
        <v>9</v>
      </c>
      <c r="P748" s="19" t="n">
        <f aca="false">INT((A748-DATE(2026,7,1))/7)+1</f>
        <v>12</v>
      </c>
    </row>
    <row r="749" customFormat="false" ht="15" hidden="false" customHeight="false" outlineLevel="0" collapsed="false">
      <c r="A749" s="25" t="n">
        <v>46287</v>
      </c>
      <c r="B749" s="26" t="s">
        <v>16</v>
      </c>
      <c r="C749" s="26" t="s">
        <v>72</v>
      </c>
      <c r="D749" s="26" t="n">
        <v>480</v>
      </c>
      <c r="E749" s="26" t="n">
        <v>12</v>
      </c>
      <c r="F749" s="26" t="n">
        <v>4613</v>
      </c>
      <c r="G749" s="26" t="n">
        <v>4540</v>
      </c>
      <c r="H749" s="19" t="n">
        <f aca="false">SUMIFS(Paradas!$E$2:$E$1973,Paradas!$A$2:$A$1973,A749,Paradas!$B$2:$B$1973,B749,Paradas!$C$2:$C$1973,C749)</f>
        <v>39</v>
      </c>
      <c r="I749" s="19" t="n">
        <f aca="false">D749-H749</f>
        <v>441</v>
      </c>
      <c r="J749" s="19" t="n">
        <f aca="false">I749*E749</f>
        <v>5292</v>
      </c>
      <c r="K749" s="16" t="n">
        <f aca="false">IF(D749=0,0,I749/D749)</f>
        <v>0.91875</v>
      </c>
      <c r="L749" s="16" t="n">
        <f aca="false">IF(J749=0,0,F749/J749)</f>
        <v>0.871693121693122</v>
      </c>
      <c r="M749" s="16" t="n">
        <f aca="false">IF(F749=0,0,G749/F749)</f>
        <v>0.984175157164535</v>
      </c>
      <c r="N749" s="16" t="n">
        <f aca="false">K749*L749*M749</f>
        <v>0.788194444444444</v>
      </c>
      <c r="O749" s="19" t="n">
        <f aca="false">MONTH(A749)</f>
        <v>9</v>
      </c>
      <c r="P749" s="19" t="n">
        <f aca="false">INT((A749-DATE(2026,7,1))/7)+1</f>
        <v>12</v>
      </c>
    </row>
    <row r="750" customFormat="false" ht="15" hidden="false" customHeight="false" outlineLevel="0" collapsed="false">
      <c r="A750" s="25" t="n">
        <v>46287</v>
      </c>
      <c r="B750" s="26" t="s">
        <v>16</v>
      </c>
      <c r="C750" s="26" t="s">
        <v>73</v>
      </c>
      <c r="D750" s="26" t="n">
        <v>480</v>
      </c>
      <c r="E750" s="26" t="n">
        <v>12</v>
      </c>
      <c r="F750" s="26" t="n">
        <v>4450</v>
      </c>
      <c r="G750" s="26" t="n">
        <v>4370</v>
      </c>
      <c r="H750" s="19" t="n">
        <f aca="false">SUMIFS(Paradas!$E$2:$E$1973,Paradas!$A$2:$A$1973,A750,Paradas!$B$2:$B$1973,B750,Paradas!$C$2:$C$1973,C750)</f>
        <v>81</v>
      </c>
      <c r="I750" s="19" t="n">
        <f aca="false">D750-H750</f>
        <v>399</v>
      </c>
      <c r="J750" s="19" t="n">
        <f aca="false">I750*E750</f>
        <v>4788</v>
      </c>
      <c r="K750" s="16" t="n">
        <f aca="false">IF(D750=0,0,I750/D750)</f>
        <v>0.83125</v>
      </c>
      <c r="L750" s="16" t="n">
        <f aca="false">IF(J750=0,0,F750/J750)</f>
        <v>0.929406850459482</v>
      </c>
      <c r="M750" s="16" t="n">
        <f aca="false">IF(F750=0,0,G750/F750)</f>
        <v>0.982022471910112</v>
      </c>
      <c r="N750" s="16" t="n">
        <f aca="false">K750*L750*M750</f>
        <v>0.758680555555556</v>
      </c>
      <c r="O750" s="19" t="n">
        <f aca="false">MONTH(A750)</f>
        <v>9</v>
      </c>
      <c r="P750" s="19" t="n">
        <f aca="false">INT((A750-DATE(2026,7,1))/7)+1</f>
        <v>12</v>
      </c>
    </row>
    <row r="751" customFormat="false" ht="15" hidden="false" customHeight="false" outlineLevel="0" collapsed="false">
      <c r="A751" s="25" t="n">
        <v>46287</v>
      </c>
      <c r="B751" s="26" t="s">
        <v>16</v>
      </c>
      <c r="C751" s="26" t="s">
        <v>74</v>
      </c>
      <c r="D751" s="26" t="n">
        <v>480</v>
      </c>
      <c r="E751" s="26" t="n">
        <v>12</v>
      </c>
      <c r="F751" s="26" t="n">
        <v>4290</v>
      </c>
      <c r="G751" s="26" t="n">
        <v>4227</v>
      </c>
      <c r="H751" s="19" t="n">
        <f aca="false">SUMIFS(Paradas!$E$2:$E$1973,Paradas!$A$2:$A$1973,A751,Paradas!$B$2:$B$1973,B751,Paradas!$C$2:$C$1973,C751)</f>
        <v>54</v>
      </c>
      <c r="I751" s="19" t="n">
        <f aca="false">D751-H751</f>
        <v>426</v>
      </c>
      <c r="J751" s="19" t="n">
        <f aca="false">I751*E751</f>
        <v>5112</v>
      </c>
      <c r="K751" s="16" t="n">
        <f aca="false">IF(D751=0,0,I751/D751)</f>
        <v>0.8875</v>
      </c>
      <c r="L751" s="16" t="n">
        <f aca="false">IF(J751=0,0,F751/J751)</f>
        <v>0.839201877934272</v>
      </c>
      <c r="M751" s="16" t="n">
        <f aca="false">IF(F751=0,0,G751/F751)</f>
        <v>0.985314685314685</v>
      </c>
      <c r="N751" s="16" t="n">
        <f aca="false">K751*L751*M751</f>
        <v>0.733854166666667</v>
      </c>
      <c r="O751" s="19" t="n">
        <f aca="false">MONTH(A751)</f>
        <v>9</v>
      </c>
      <c r="P751" s="19" t="n">
        <f aca="false">INT((A751-DATE(2026,7,1))/7)+1</f>
        <v>12</v>
      </c>
    </row>
    <row r="752" customFormat="false" ht="15" hidden="false" customHeight="false" outlineLevel="0" collapsed="false">
      <c r="A752" s="25" t="n">
        <v>46287</v>
      </c>
      <c r="B752" s="26" t="s">
        <v>17</v>
      </c>
      <c r="C752" s="26" t="s">
        <v>72</v>
      </c>
      <c r="D752" s="26" t="n">
        <v>480</v>
      </c>
      <c r="E752" s="26" t="n">
        <v>10</v>
      </c>
      <c r="F752" s="26" t="n">
        <v>3098</v>
      </c>
      <c r="G752" s="26" t="n">
        <v>2961</v>
      </c>
      <c r="H752" s="19" t="n">
        <f aca="false">SUMIFS(Paradas!$E$2:$E$1973,Paradas!$A$2:$A$1973,A752,Paradas!$B$2:$B$1973,B752,Paradas!$C$2:$C$1973,C752)</f>
        <v>137</v>
      </c>
      <c r="I752" s="19" t="n">
        <f aca="false">D752-H752</f>
        <v>343</v>
      </c>
      <c r="J752" s="19" t="n">
        <f aca="false">I752*E752</f>
        <v>3430</v>
      </c>
      <c r="K752" s="16" t="n">
        <f aca="false">IF(D752=0,0,I752/D752)</f>
        <v>0.714583333333333</v>
      </c>
      <c r="L752" s="16" t="n">
        <f aca="false">IF(J752=0,0,F752/J752)</f>
        <v>0.903206997084548</v>
      </c>
      <c r="M752" s="16" t="n">
        <f aca="false">IF(F752=0,0,G752/F752)</f>
        <v>0.955777921239509</v>
      </c>
      <c r="N752" s="16" t="n">
        <f aca="false">K752*L752*M752</f>
        <v>0.616875</v>
      </c>
      <c r="O752" s="19" t="n">
        <f aca="false">MONTH(A752)</f>
        <v>9</v>
      </c>
      <c r="P752" s="19" t="n">
        <f aca="false">INT((A752-DATE(2026,7,1))/7)+1</f>
        <v>12</v>
      </c>
    </row>
    <row r="753" customFormat="false" ht="15" hidden="false" customHeight="false" outlineLevel="0" collapsed="false">
      <c r="A753" s="25" t="n">
        <v>46287</v>
      </c>
      <c r="B753" s="26" t="s">
        <v>17</v>
      </c>
      <c r="C753" s="26" t="s">
        <v>73</v>
      </c>
      <c r="D753" s="26" t="n">
        <v>480</v>
      </c>
      <c r="E753" s="26" t="n">
        <v>10</v>
      </c>
      <c r="F753" s="26" t="n">
        <v>3360</v>
      </c>
      <c r="G753" s="26" t="n">
        <v>3200</v>
      </c>
      <c r="H753" s="19" t="n">
        <f aca="false">SUMIFS(Paradas!$E$2:$E$1973,Paradas!$A$2:$A$1973,A753,Paradas!$B$2:$B$1973,B753,Paradas!$C$2:$C$1973,C753)</f>
        <v>113</v>
      </c>
      <c r="I753" s="19" t="n">
        <f aca="false">D753-H753</f>
        <v>367</v>
      </c>
      <c r="J753" s="19" t="n">
        <f aca="false">I753*E753</f>
        <v>3670</v>
      </c>
      <c r="K753" s="16" t="n">
        <f aca="false">IF(D753=0,0,I753/D753)</f>
        <v>0.764583333333333</v>
      </c>
      <c r="L753" s="16" t="n">
        <f aca="false">IF(J753=0,0,F753/J753)</f>
        <v>0.915531335149864</v>
      </c>
      <c r="M753" s="16" t="n">
        <f aca="false">IF(F753=0,0,G753/F753)</f>
        <v>0.952380952380952</v>
      </c>
      <c r="N753" s="16" t="n">
        <f aca="false">K753*L753*M753</f>
        <v>0.666666666666667</v>
      </c>
      <c r="O753" s="19" t="n">
        <f aca="false">MONTH(A753)</f>
        <v>9</v>
      </c>
      <c r="P753" s="19" t="n">
        <f aca="false">INT((A753-DATE(2026,7,1))/7)+1</f>
        <v>12</v>
      </c>
    </row>
    <row r="754" customFormat="false" ht="15" hidden="false" customHeight="false" outlineLevel="0" collapsed="false">
      <c r="A754" s="25" t="n">
        <v>46287</v>
      </c>
      <c r="B754" s="26" t="s">
        <v>17</v>
      </c>
      <c r="C754" s="26" t="s">
        <v>74</v>
      </c>
      <c r="D754" s="26" t="n">
        <v>480</v>
      </c>
      <c r="E754" s="26" t="n">
        <v>10</v>
      </c>
      <c r="F754" s="26" t="n">
        <v>4158</v>
      </c>
      <c r="G754" s="26" t="n">
        <v>3978</v>
      </c>
      <c r="H754" s="19" t="n">
        <f aca="false">SUMIFS(Paradas!$E$2:$E$1973,Paradas!$A$2:$A$1973,A754,Paradas!$B$2:$B$1973,B754,Paradas!$C$2:$C$1973,C754)</f>
        <v>14</v>
      </c>
      <c r="I754" s="19" t="n">
        <f aca="false">D754-H754</f>
        <v>466</v>
      </c>
      <c r="J754" s="19" t="n">
        <f aca="false">I754*E754</f>
        <v>4660</v>
      </c>
      <c r="K754" s="16" t="n">
        <f aca="false">IF(D754=0,0,I754/D754)</f>
        <v>0.970833333333333</v>
      </c>
      <c r="L754" s="16" t="n">
        <f aca="false">IF(J754=0,0,F754/J754)</f>
        <v>0.892274678111588</v>
      </c>
      <c r="M754" s="16" t="n">
        <f aca="false">IF(F754=0,0,G754/F754)</f>
        <v>0.956709956709957</v>
      </c>
      <c r="N754" s="16" t="n">
        <f aca="false">K754*L754*M754</f>
        <v>0.82875</v>
      </c>
      <c r="O754" s="19" t="n">
        <f aca="false">MONTH(A754)</f>
        <v>9</v>
      </c>
      <c r="P754" s="19" t="n">
        <f aca="false">INT((A754-DATE(2026,7,1))/7)+1</f>
        <v>12</v>
      </c>
    </row>
    <row r="755" customFormat="false" ht="15" hidden="false" customHeight="false" outlineLevel="0" collapsed="false">
      <c r="A755" s="25" t="n">
        <v>46287</v>
      </c>
      <c r="B755" s="26" t="s">
        <v>18</v>
      </c>
      <c r="C755" s="26" t="s">
        <v>72</v>
      </c>
      <c r="D755" s="26" t="n">
        <v>480</v>
      </c>
      <c r="E755" s="26" t="n">
        <v>8</v>
      </c>
      <c r="F755" s="26" t="n">
        <v>2499</v>
      </c>
      <c r="G755" s="26" t="n">
        <v>2435</v>
      </c>
      <c r="H755" s="19" t="n">
        <f aca="false">SUMIFS(Paradas!$E$2:$E$1973,Paradas!$A$2:$A$1973,A755,Paradas!$B$2:$B$1973,B755,Paradas!$C$2:$C$1973,C755)</f>
        <v>153</v>
      </c>
      <c r="I755" s="19" t="n">
        <f aca="false">D755-H755</f>
        <v>327</v>
      </c>
      <c r="J755" s="19" t="n">
        <f aca="false">I755*E755</f>
        <v>2616</v>
      </c>
      <c r="K755" s="16" t="n">
        <f aca="false">IF(D755=0,0,I755/D755)</f>
        <v>0.68125</v>
      </c>
      <c r="L755" s="16" t="n">
        <f aca="false">IF(J755=0,0,F755/J755)</f>
        <v>0.955275229357798</v>
      </c>
      <c r="M755" s="16" t="n">
        <f aca="false">IF(F755=0,0,G755/F755)</f>
        <v>0.974389755902361</v>
      </c>
      <c r="N755" s="16" t="n">
        <f aca="false">K755*L755*M755</f>
        <v>0.634114583333334</v>
      </c>
      <c r="O755" s="19" t="n">
        <f aca="false">MONTH(A755)</f>
        <v>9</v>
      </c>
      <c r="P755" s="19" t="n">
        <f aca="false">INT((A755-DATE(2026,7,1))/7)+1</f>
        <v>12</v>
      </c>
    </row>
    <row r="756" customFormat="false" ht="15" hidden="false" customHeight="false" outlineLevel="0" collapsed="false">
      <c r="A756" s="25" t="n">
        <v>46287</v>
      </c>
      <c r="B756" s="26" t="s">
        <v>18</v>
      </c>
      <c r="C756" s="26" t="s">
        <v>73</v>
      </c>
      <c r="D756" s="26" t="n">
        <v>480</v>
      </c>
      <c r="E756" s="26" t="n">
        <v>8</v>
      </c>
      <c r="F756" s="26" t="n">
        <v>2750</v>
      </c>
      <c r="G756" s="26" t="n">
        <v>2634</v>
      </c>
      <c r="H756" s="19" t="n">
        <f aca="false">SUMIFS(Paradas!$E$2:$E$1973,Paradas!$A$2:$A$1973,A756,Paradas!$B$2:$B$1973,B756,Paradas!$C$2:$C$1973,C756)</f>
        <v>88</v>
      </c>
      <c r="I756" s="19" t="n">
        <f aca="false">D756-H756</f>
        <v>392</v>
      </c>
      <c r="J756" s="19" t="n">
        <f aca="false">I756*E756</f>
        <v>3136</v>
      </c>
      <c r="K756" s="16" t="n">
        <f aca="false">IF(D756=0,0,I756/D756)</f>
        <v>0.816666666666667</v>
      </c>
      <c r="L756" s="16" t="n">
        <f aca="false">IF(J756=0,0,F756/J756)</f>
        <v>0.876913265306123</v>
      </c>
      <c r="M756" s="16" t="n">
        <f aca="false">IF(F756=0,0,G756/F756)</f>
        <v>0.957818181818182</v>
      </c>
      <c r="N756" s="16" t="n">
        <f aca="false">K756*L756*M756</f>
        <v>0.6859375</v>
      </c>
      <c r="O756" s="19" t="n">
        <f aca="false">MONTH(A756)</f>
        <v>9</v>
      </c>
      <c r="P756" s="19" t="n">
        <f aca="false">INT((A756-DATE(2026,7,1))/7)+1</f>
        <v>12</v>
      </c>
    </row>
    <row r="757" customFormat="false" ht="15" hidden="false" customHeight="false" outlineLevel="0" collapsed="false">
      <c r="A757" s="25" t="n">
        <v>46287</v>
      </c>
      <c r="B757" s="26" t="s">
        <v>18</v>
      </c>
      <c r="C757" s="26" t="s">
        <v>74</v>
      </c>
      <c r="D757" s="26" t="n">
        <v>480</v>
      </c>
      <c r="E757" s="26" t="n">
        <v>8</v>
      </c>
      <c r="F757" s="26" t="n">
        <v>2518</v>
      </c>
      <c r="G757" s="26" t="n">
        <v>2473</v>
      </c>
      <c r="H757" s="19" t="n">
        <f aca="false">SUMIFS(Paradas!$E$2:$E$1973,Paradas!$A$2:$A$1973,A757,Paradas!$B$2:$B$1973,B757,Paradas!$C$2:$C$1973,C757)</f>
        <v>68</v>
      </c>
      <c r="I757" s="19" t="n">
        <f aca="false">D757-H757</f>
        <v>412</v>
      </c>
      <c r="J757" s="19" t="n">
        <f aca="false">I757*E757</f>
        <v>3296</v>
      </c>
      <c r="K757" s="16" t="n">
        <f aca="false">IF(D757=0,0,I757/D757)</f>
        <v>0.858333333333333</v>
      </c>
      <c r="L757" s="16" t="n">
        <f aca="false">IF(J757=0,0,F757/J757)</f>
        <v>0.763956310679612</v>
      </c>
      <c r="M757" s="16" t="n">
        <f aca="false">IF(F757=0,0,G757/F757)</f>
        <v>0.982128673550437</v>
      </c>
      <c r="N757" s="16" t="n">
        <f aca="false">K757*L757*M757</f>
        <v>0.644010416666667</v>
      </c>
      <c r="O757" s="19" t="n">
        <f aca="false">MONTH(A757)</f>
        <v>9</v>
      </c>
      <c r="P757" s="19" t="n">
        <f aca="false">INT((A757-DATE(2026,7,1))/7)+1</f>
        <v>12</v>
      </c>
    </row>
    <row r="758" customFormat="false" ht="15" hidden="false" customHeight="false" outlineLevel="0" collapsed="false">
      <c r="A758" s="25" t="n">
        <v>46288</v>
      </c>
      <c r="B758" s="26" t="s">
        <v>16</v>
      </c>
      <c r="C758" s="26" t="s">
        <v>72</v>
      </c>
      <c r="D758" s="26" t="n">
        <v>480</v>
      </c>
      <c r="E758" s="26" t="n">
        <v>12</v>
      </c>
      <c r="F758" s="26" t="n">
        <v>4161</v>
      </c>
      <c r="G758" s="26" t="n">
        <v>4086</v>
      </c>
      <c r="H758" s="19" t="n">
        <f aca="false">SUMIFS(Paradas!$E$2:$E$1973,Paradas!$A$2:$A$1973,A758,Paradas!$B$2:$B$1973,B758,Paradas!$C$2:$C$1973,C758)</f>
        <v>91</v>
      </c>
      <c r="I758" s="19" t="n">
        <f aca="false">D758-H758</f>
        <v>389</v>
      </c>
      <c r="J758" s="19" t="n">
        <f aca="false">I758*E758</f>
        <v>4668</v>
      </c>
      <c r="K758" s="16" t="n">
        <f aca="false">IF(D758=0,0,I758/D758)</f>
        <v>0.810416666666667</v>
      </c>
      <c r="L758" s="16" t="n">
        <f aca="false">IF(J758=0,0,F758/J758)</f>
        <v>0.891388174807198</v>
      </c>
      <c r="M758" s="16" t="n">
        <f aca="false">IF(F758=0,0,G758/F758)</f>
        <v>0.98197548666186</v>
      </c>
      <c r="N758" s="16" t="n">
        <f aca="false">K758*L758*M758</f>
        <v>0.709375</v>
      </c>
      <c r="O758" s="19" t="n">
        <f aca="false">MONTH(A758)</f>
        <v>9</v>
      </c>
      <c r="P758" s="19" t="n">
        <f aca="false">INT((A758-DATE(2026,7,1))/7)+1</f>
        <v>13</v>
      </c>
    </row>
    <row r="759" customFormat="false" ht="15" hidden="false" customHeight="false" outlineLevel="0" collapsed="false">
      <c r="A759" s="25" t="n">
        <v>46288</v>
      </c>
      <c r="B759" s="26" t="s">
        <v>16</v>
      </c>
      <c r="C759" s="26" t="s">
        <v>73</v>
      </c>
      <c r="D759" s="26" t="n">
        <v>480</v>
      </c>
      <c r="E759" s="26" t="n">
        <v>12</v>
      </c>
      <c r="F759" s="26" t="n">
        <v>4205</v>
      </c>
      <c r="G759" s="26" t="n">
        <v>4189</v>
      </c>
      <c r="H759" s="19" t="n">
        <f aca="false">SUMIFS(Paradas!$E$2:$E$1973,Paradas!$A$2:$A$1973,A759,Paradas!$B$2:$B$1973,B759,Paradas!$C$2:$C$1973,C759)</f>
        <v>78</v>
      </c>
      <c r="I759" s="19" t="n">
        <f aca="false">D759-H759</f>
        <v>402</v>
      </c>
      <c r="J759" s="19" t="n">
        <f aca="false">I759*E759</f>
        <v>4824</v>
      </c>
      <c r="K759" s="16" t="n">
        <f aca="false">IF(D759=0,0,I759/D759)</f>
        <v>0.8375</v>
      </c>
      <c r="L759" s="16" t="n">
        <f aca="false">IF(J759=0,0,F759/J759)</f>
        <v>0.871683250414594</v>
      </c>
      <c r="M759" s="16" t="n">
        <f aca="false">IF(F759=0,0,G759/F759)</f>
        <v>0.996195005945303</v>
      </c>
      <c r="N759" s="16" t="n">
        <f aca="false">K759*L759*M759</f>
        <v>0.727256944444444</v>
      </c>
      <c r="O759" s="19" t="n">
        <f aca="false">MONTH(A759)</f>
        <v>9</v>
      </c>
      <c r="P759" s="19" t="n">
        <f aca="false">INT((A759-DATE(2026,7,1))/7)+1</f>
        <v>13</v>
      </c>
    </row>
    <row r="760" customFormat="false" ht="15" hidden="false" customHeight="false" outlineLevel="0" collapsed="false">
      <c r="A760" s="25" t="n">
        <v>46288</v>
      </c>
      <c r="B760" s="26" t="s">
        <v>16</v>
      </c>
      <c r="C760" s="26" t="s">
        <v>74</v>
      </c>
      <c r="D760" s="26" t="n">
        <v>480</v>
      </c>
      <c r="E760" s="26" t="n">
        <v>12</v>
      </c>
      <c r="F760" s="26" t="n">
        <v>2846</v>
      </c>
      <c r="G760" s="26" t="n">
        <v>2818</v>
      </c>
      <c r="H760" s="19" t="n">
        <f aca="false">SUMIFS(Paradas!$E$2:$E$1973,Paradas!$A$2:$A$1973,A760,Paradas!$B$2:$B$1973,B760,Paradas!$C$2:$C$1973,C760)</f>
        <v>193</v>
      </c>
      <c r="I760" s="19" t="n">
        <f aca="false">D760-H760</f>
        <v>287</v>
      </c>
      <c r="J760" s="19" t="n">
        <f aca="false">I760*E760</f>
        <v>3444</v>
      </c>
      <c r="K760" s="16" t="n">
        <f aca="false">IF(D760=0,0,I760/D760)</f>
        <v>0.597916666666667</v>
      </c>
      <c r="L760" s="16" t="n">
        <f aca="false">IF(J760=0,0,F760/J760)</f>
        <v>0.826364692218351</v>
      </c>
      <c r="M760" s="16" t="n">
        <f aca="false">IF(F760=0,0,G760/F760)</f>
        <v>0.990161630358398</v>
      </c>
      <c r="N760" s="16" t="n">
        <f aca="false">K760*L760*M760</f>
        <v>0.489236111111111</v>
      </c>
      <c r="O760" s="19" t="n">
        <f aca="false">MONTH(A760)</f>
        <v>9</v>
      </c>
      <c r="P760" s="19" t="n">
        <f aca="false">INT((A760-DATE(2026,7,1))/7)+1</f>
        <v>13</v>
      </c>
    </row>
    <row r="761" customFormat="false" ht="15" hidden="false" customHeight="false" outlineLevel="0" collapsed="false">
      <c r="A761" s="25" t="n">
        <v>46288</v>
      </c>
      <c r="B761" s="26" t="s">
        <v>17</v>
      </c>
      <c r="C761" s="26" t="s">
        <v>72</v>
      </c>
      <c r="D761" s="26" t="n">
        <v>480</v>
      </c>
      <c r="E761" s="26" t="n">
        <v>10</v>
      </c>
      <c r="F761" s="26" t="n">
        <v>3038</v>
      </c>
      <c r="G761" s="26" t="n">
        <v>2915</v>
      </c>
      <c r="H761" s="19" t="n">
        <f aca="false">SUMIFS(Paradas!$E$2:$E$1973,Paradas!$A$2:$A$1973,A761,Paradas!$B$2:$B$1973,B761,Paradas!$C$2:$C$1973,C761)</f>
        <v>138</v>
      </c>
      <c r="I761" s="19" t="n">
        <f aca="false">D761-H761</f>
        <v>342</v>
      </c>
      <c r="J761" s="19" t="n">
        <f aca="false">I761*E761</f>
        <v>3420</v>
      </c>
      <c r="K761" s="16" t="n">
        <f aca="false">IF(D761=0,0,I761/D761)</f>
        <v>0.7125</v>
      </c>
      <c r="L761" s="16" t="n">
        <f aca="false">IF(J761=0,0,F761/J761)</f>
        <v>0.888304093567252</v>
      </c>
      <c r="M761" s="16" t="n">
        <f aca="false">IF(F761=0,0,G761/F761)</f>
        <v>0.959512837393022</v>
      </c>
      <c r="N761" s="16" t="n">
        <f aca="false">K761*L761*M761</f>
        <v>0.607291666666667</v>
      </c>
      <c r="O761" s="19" t="n">
        <f aca="false">MONTH(A761)</f>
        <v>9</v>
      </c>
      <c r="P761" s="19" t="n">
        <f aca="false">INT((A761-DATE(2026,7,1))/7)+1</f>
        <v>13</v>
      </c>
    </row>
    <row r="762" customFormat="false" ht="15" hidden="false" customHeight="false" outlineLevel="0" collapsed="false">
      <c r="A762" s="25" t="n">
        <v>46288</v>
      </c>
      <c r="B762" s="26" t="s">
        <v>17</v>
      </c>
      <c r="C762" s="26" t="s">
        <v>73</v>
      </c>
      <c r="D762" s="26" t="n">
        <v>480</v>
      </c>
      <c r="E762" s="26" t="n">
        <v>10</v>
      </c>
      <c r="F762" s="26" t="n">
        <v>2875</v>
      </c>
      <c r="G762" s="26" t="n">
        <v>2770</v>
      </c>
      <c r="H762" s="19" t="n">
        <f aca="false">SUMIFS(Paradas!$E$2:$E$1973,Paradas!$A$2:$A$1973,A762,Paradas!$B$2:$B$1973,B762,Paradas!$C$2:$C$1973,C762)</f>
        <v>172</v>
      </c>
      <c r="I762" s="19" t="n">
        <f aca="false">D762-H762</f>
        <v>308</v>
      </c>
      <c r="J762" s="19" t="n">
        <f aca="false">I762*E762</f>
        <v>3080</v>
      </c>
      <c r="K762" s="16" t="n">
        <f aca="false">IF(D762=0,0,I762/D762)</f>
        <v>0.641666666666667</v>
      </c>
      <c r="L762" s="16" t="n">
        <f aca="false">IF(J762=0,0,F762/J762)</f>
        <v>0.933441558441558</v>
      </c>
      <c r="M762" s="16" t="n">
        <f aca="false">IF(F762=0,0,G762/F762)</f>
        <v>0.963478260869565</v>
      </c>
      <c r="N762" s="16" t="n">
        <f aca="false">K762*L762*M762</f>
        <v>0.577083333333333</v>
      </c>
      <c r="O762" s="19" t="n">
        <f aca="false">MONTH(A762)</f>
        <v>9</v>
      </c>
      <c r="P762" s="19" t="n">
        <f aca="false">INT((A762-DATE(2026,7,1))/7)+1</f>
        <v>13</v>
      </c>
    </row>
    <row r="763" customFormat="false" ht="15" hidden="false" customHeight="false" outlineLevel="0" collapsed="false">
      <c r="A763" s="25" t="n">
        <v>46288</v>
      </c>
      <c r="B763" s="26" t="s">
        <v>17</v>
      </c>
      <c r="C763" s="26" t="s">
        <v>74</v>
      </c>
      <c r="D763" s="26" t="n">
        <v>480</v>
      </c>
      <c r="E763" s="26" t="n">
        <v>10</v>
      </c>
      <c r="F763" s="26" t="n">
        <v>3014</v>
      </c>
      <c r="G763" s="26" t="n">
        <v>2875</v>
      </c>
      <c r="H763" s="19" t="n">
        <f aca="false">SUMIFS(Paradas!$E$2:$E$1973,Paradas!$A$2:$A$1973,A763,Paradas!$B$2:$B$1973,B763,Paradas!$C$2:$C$1973,C763)</f>
        <v>120</v>
      </c>
      <c r="I763" s="19" t="n">
        <f aca="false">D763-H763</f>
        <v>360</v>
      </c>
      <c r="J763" s="19" t="n">
        <f aca="false">I763*E763</f>
        <v>3600</v>
      </c>
      <c r="K763" s="16" t="n">
        <f aca="false">IF(D763=0,0,I763/D763)</f>
        <v>0.75</v>
      </c>
      <c r="L763" s="16" t="n">
        <f aca="false">IF(J763=0,0,F763/J763)</f>
        <v>0.837222222222222</v>
      </c>
      <c r="M763" s="16" t="n">
        <f aca="false">IF(F763=0,0,G763/F763)</f>
        <v>0.953881884538819</v>
      </c>
      <c r="N763" s="16" t="n">
        <f aca="false">K763*L763*M763</f>
        <v>0.598958333333333</v>
      </c>
      <c r="O763" s="19" t="n">
        <f aca="false">MONTH(A763)</f>
        <v>9</v>
      </c>
      <c r="P763" s="19" t="n">
        <f aca="false">INT((A763-DATE(2026,7,1))/7)+1</f>
        <v>13</v>
      </c>
    </row>
    <row r="764" customFormat="false" ht="15" hidden="false" customHeight="false" outlineLevel="0" collapsed="false">
      <c r="A764" s="25" t="n">
        <v>46288</v>
      </c>
      <c r="B764" s="26" t="s">
        <v>18</v>
      </c>
      <c r="C764" s="26" t="s">
        <v>72</v>
      </c>
      <c r="D764" s="26" t="n">
        <v>480</v>
      </c>
      <c r="E764" s="26" t="n">
        <v>8</v>
      </c>
      <c r="F764" s="26" t="n">
        <v>3514</v>
      </c>
      <c r="G764" s="26" t="n">
        <v>3394</v>
      </c>
      <c r="H764" s="19" t="n">
        <f aca="false">SUMIFS(Paradas!$E$2:$E$1973,Paradas!$A$2:$A$1973,A764,Paradas!$B$2:$B$1973,B764,Paradas!$C$2:$C$1973,C764)</f>
        <v>12</v>
      </c>
      <c r="I764" s="19" t="n">
        <f aca="false">D764-H764</f>
        <v>468</v>
      </c>
      <c r="J764" s="19" t="n">
        <f aca="false">I764*E764</f>
        <v>3744</v>
      </c>
      <c r="K764" s="16" t="n">
        <f aca="false">IF(D764=0,0,I764/D764)</f>
        <v>0.975</v>
      </c>
      <c r="L764" s="16" t="n">
        <f aca="false">IF(J764=0,0,F764/J764)</f>
        <v>0.938568376068376</v>
      </c>
      <c r="M764" s="16" t="n">
        <f aca="false">IF(F764=0,0,G764/F764)</f>
        <v>0.965850882185544</v>
      </c>
      <c r="N764" s="16" t="n">
        <f aca="false">K764*L764*M764</f>
        <v>0.883854166666667</v>
      </c>
      <c r="O764" s="19" t="n">
        <f aca="false">MONTH(A764)</f>
        <v>9</v>
      </c>
      <c r="P764" s="19" t="n">
        <f aca="false">INT((A764-DATE(2026,7,1))/7)+1</f>
        <v>13</v>
      </c>
    </row>
    <row r="765" customFormat="false" ht="15" hidden="false" customHeight="false" outlineLevel="0" collapsed="false">
      <c r="A765" s="25" t="n">
        <v>46288</v>
      </c>
      <c r="B765" s="26" t="s">
        <v>18</v>
      </c>
      <c r="C765" s="26" t="s">
        <v>73</v>
      </c>
      <c r="D765" s="26" t="n">
        <v>480</v>
      </c>
      <c r="E765" s="26" t="n">
        <v>8</v>
      </c>
      <c r="F765" s="26" t="n">
        <v>3362</v>
      </c>
      <c r="G765" s="26" t="n">
        <v>3307</v>
      </c>
      <c r="H765" s="19" t="n">
        <f aca="false">SUMIFS(Paradas!$E$2:$E$1973,Paradas!$A$2:$A$1973,A765,Paradas!$B$2:$B$1973,B765,Paradas!$C$2:$C$1973,C765)</f>
        <v>22</v>
      </c>
      <c r="I765" s="19" t="n">
        <f aca="false">D765-H765</f>
        <v>458</v>
      </c>
      <c r="J765" s="19" t="n">
        <f aca="false">I765*E765</f>
        <v>3664</v>
      </c>
      <c r="K765" s="16" t="n">
        <f aca="false">IF(D765=0,0,I765/D765)</f>
        <v>0.954166666666667</v>
      </c>
      <c r="L765" s="16" t="n">
        <f aca="false">IF(J765=0,0,F765/J765)</f>
        <v>0.917576419213974</v>
      </c>
      <c r="M765" s="16" t="n">
        <f aca="false">IF(F765=0,0,G765/F765)</f>
        <v>0.983640690065437</v>
      </c>
      <c r="N765" s="16" t="n">
        <f aca="false">K765*L765*M765</f>
        <v>0.861197916666667</v>
      </c>
      <c r="O765" s="19" t="n">
        <f aca="false">MONTH(A765)</f>
        <v>9</v>
      </c>
      <c r="P765" s="19" t="n">
        <f aca="false">INT((A765-DATE(2026,7,1))/7)+1</f>
        <v>13</v>
      </c>
    </row>
    <row r="766" customFormat="false" ht="15" hidden="false" customHeight="false" outlineLevel="0" collapsed="false">
      <c r="A766" s="25" t="n">
        <v>46288</v>
      </c>
      <c r="B766" s="26" t="s">
        <v>18</v>
      </c>
      <c r="C766" s="26" t="s">
        <v>74</v>
      </c>
      <c r="D766" s="26" t="n">
        <v>480</v>
      </c>
      <c r="E766" s="26" t="n">
        <v>8</v>
      </c>
      <c r="F766" s="26" t="n">
        <v>3366</v>
      </c>
      <c r="G766" s="26" t="n">
        <v>3312</v>
      </c>
      <c r="H766" s="19" t="n">
        <f aca="false">SUMIFS(Paradas!$E$2:$E$1973,Paradas!$A$2:$A$1973,A766,Paradas!$B$2:$B$1973,B766,Paradas!$C$2:$C$1973,C766)</f>
        <v>10</v>
      </c>
      <c r="I766" s="19" t="n">
        <f aca="false">D766-H766</f>
        <v>470</v>
      </c>
      <c r="J766" s="19" t="n">
        <f aca="false">I766*E766</f>
        <v>3760</v>
      </c>
      <c r="K766" s="16" t="n">
        <f aca="false">IF(D766=0,0,I766/D766)</f>
        <v>0.979166666666667</v>
      </c>
      <c r="L766" s="16" t="n">
        <f aca="false">IF(J766=0,0,F766/J766)</f>
        <v>0.895212765957447</v>
      </c>
      <c r="M766" s="16" t="n">
        <f aca="false">IF(F766=0,0,G766/F766)</f>
        <v>0.983957219251337</v>
      </c>
      <c r="N766" s="16" t="n">
        <f aca="false">K766*L766*M766</f>
        <v>0.8625</v>
      </c>
      <c r="O766" s="19" t="n">
        <f aca="false">MONTH(A766)</f>
        <v>9</v>
      </c>
      <c r="P766" s="19" t="n">
        <f aca="false">INT((A766-DATE(2026,7,1))/7)+1</f>
        <v>13</v>
      </c>
    </row>
    <row r="767" customFormat="false" ht="15" hidden="false" customHeight="false" outlineLevel="0" collapsed="false">
      <c r="A767" s="25" t="n">
        <v>46289</v>
      </c>
      <c r="B767" s="26" t="s">
        <v>16</v>
      </c>
      <c r="C767" s="26" t="s">
        <v>72</v>
      </c>
      <c r="D767" s="26" t="n">
        <v>480</v>
      </c>
      <c r="E767" s="26" t="n">
        <v>12</v>
      </c>
      <c r="F767" s="26" t="n">
        <v>4631</v>
      </c>
      <c r="G767" s="26" t="n">
        <v>4541</v>
      </c>
      <c r="H767" s="19" t="n">
        <f aca="false">SUMIFS(Paradas!$E$2:$E$1973,Paradas!$A$2:$A$1973,A767,Paradas!$B$2:$B$1973,B767,Paradas!$C$2:$C$1973,C767)</f>
        <v>66</v>
      </c>
      <c r="I767" s="19" t="n">
        <f aca="false">D767-H767</f>
        <v>414</v>
      </c>
      <c r="J767" s="19" t="n">
        <f aca="false">I767*E767</f>
        <v>4968</v>
      </c>
      <c r="K767" s="16" t="n">
        <f aca="false">IF(D767=0,0,I767/D767)</f>
        <v>0.8625</v>
      </c>
      <c r="L767" s="16" t="n">
        <f aca="false">IF(J767=0,0,F767/J767)</f>
        <v>0.932165861513688</v>
      </c>
      <c r="M767" s="16" t="n">
        <f aca="false">IF(F767=0,0,G767/F767)</f>
        <v>0.980565752537249</v>
      </c>
      <c r="N767" s="16" t="n">
        <f aca="false">K767*L767*M767</f>
        <v>0.788368055555556</v>
      </c>
      <c r="O767" s="19" t="n">
        <f aca="false">MONTH(A767)</f>
        <v>9</v>
      </c>
      <c r="P767" s="19" t="n">
        <f aca="false">INT((A767-DATE(2026,7,1))/7)+1</f>
        <v>13</v>
      </c>
    </row>
    <row r="768" customFormat="false" ht="15" hidden="false" customHeight="false" outlineLevel="0" collapsed="false">
      <c r="A768" s="25" t="n">
        <v>46289</v>
      </c>
      <c r="B768" s="26" t="s">
        <v>16</v>
      </c>
      <c r="C768" s="26" t="s">
        <v>73</v>
      </c>
      <c r="D768" s="26" t="n">
        <v>480</v>
      </c>
      <c r="E768" s="26" t="n">
        <v>12</v>
      </c>
      <c r="F768" s="26" t="n">
        <v>4083</v>
      </c>
      <c r="G768" s="26" t="n">
        <v>4030</v>
      </c>
      <c r="H768" s="19" t="n">
        <f aca="false">SUMIFS(Paradas!$E$2:$E$1973,Paradas!$A$2:$A$1973,A768,Paradas!$B$2:$B$1973,B768,Paradas!$C$2:$C$1973,C768)</f>
        <v>81</v>
      </c>
      <c r="I768" s="19" t="n">
        <f aca="false">D768-H768</f>
        <v>399</v>
      </c>
      <c r="J768" s="19" t="n">
        <f aca="false">I768*E768</f>
        <v>4788</v>
      </c>
      <c r="K768" s="16" t="n">
        <f aca="false">IF(D768=0,0,I768/D768)</f>
        <v>0.83125</v>
      </c>
      <c r="L768" s="16" t="n">
        <f aca="false">IF(J768=0,0,F768/J768)</f>
        <v>0.852756892230577</v>
      </c>
      <c r="M768" s="16" t="n">
        <f aca="false">IF(F768=0,0,G768/F768)</f>
        <v>0.987019348518246</v>
      </c>
      <c r="N768" s="16" t="n">
        <f aca="false">K768*L768*M768</f>
        <v>0.699652777777778</v>
      </c>
      <c r="O768" s="19" t="n">
        <f aca="false">MONTH(A768)</f>
        <v>9</v>
      </c>
      <c r="P768" s="19" t="n">
        <f aca="false">INT((A768-DATE(2026,7,1))/7)+1</f>
        <v>13</v>
      </c>
    </row>
    <row r="769" customFormat="false" ht="15" hidden="false" customHeight="false" outlineLevel="0" collapsed="false">
      <c r="A769" s="25" t="n">
        <v>46289</v>
      </c>
      <c r="B769" s="26" t="s">
        <v>16</v>
      </c>
      <c r="C769" s="26" t="s">
        <v>74</v>
      </c>
      <c r="D769" s="26" t="n">
        <v>480</v>
      </c>
      <c r="E769" s="26" t="n">
        <v>12</v>
      </c>
      <c r="F769" s="26" t="n">
        <v>3562</v>
      </c>
      <c r="G769" s="26" t="n">
        <v>3508</v>
      </c>
      <c r="H769" s="19" t="n">
        <f aca="false">SUMIFS(Paradas!$E$2:$E$1973,Paradas!$A$2:$A$1973,A769,Paradas!$B$2:$B$1973,B769,Paradas!$C$2:$C$1973,C769)</f>
        <v>135</v>
      </c>
      <c r="I769" s="19" t="n">
        <f aca="false">D769-H769</f>
        <v>345</v>
      </c>
      <c r="J769" s="19" t="n">
        <f aca="false">I769*E769</f>
        <v>4140</v>
      </c>
      <c r="K769" s="16" t="n">
        <f aca="false">IF(D769=0,0,I769/D769)</f>
        <v>0.71875</v>
      </c>
      <c r="L769" s="16" t="n">
        <f aca="false">IF(J769=0,0,F769/J769)</f>
        <v>0.860386473429952</v>
      </c>
      <c r="M769" s="16" t="n">
        <f aca="false">IF(F769=0,0,G769/F769)</f>
        <v>0.984839977540708</v>
      </c>
      <c r="N769" s="16" t="n">
        <f aca="false">K769*L769*M769</f>
        <v>0.609027777777778</v>
      </c>
      <c r="O769" s="19" t="n">
        <f aca="false">MONTH(A769)</f>
        <v>9</v>
      </c>
      <c r="P769" s="19" t="n">
        <f aca="false">INT((A769-DATE(2026,7,1))/7)+1</f>
        <v>13</v>
      </c>
    </row>
    <row r="770" customFormat="false" ht="15" hidden="false" customHeight="false" outlineLevel="0" collapsed="false">
      <c r="A770" s="25" t="n">
        <v>46289</v>
      </c>
      <c r="B770" s="26" t="s">
        <v>17</v>
      </c>
      <c r="C770" s="26" t="s">
        <v>72</v>
      </c>
      <c r="D770" s="26" t="n">
        <v>480</v>
      </c>
      <c r="E770" s="26" t="n">
        <v>10</v>
      </c>
      <c r="F770" s="26" t="n">
        <v>3152</v>
      </c>
      <c r="G770" s="26" t="n">
        <v>2996</v>
      </c>
      <c r="H770" s="19" t="n">
        <f aca="false">SUMIFS(Paradas!$E$2:$E$1973,Paradas!$A$2:$A$1973,A770,Paradas!$B$2:$B$1973,B770,Paradas!$C$2:$C$1973,C770)</f>
        <v>147</v>
      </c>
      <c r="I770" s="19" t="n">
        <f aca="false">D770-H770</f>
        <v>333</v>
      </c>
      <c r="J770" s="19" t="n">
        <f aca="false">I770*E770</f>
        <v>3330</v>
      </c>
      <c r="K770" s="16" t="n">
        <f aca="false">IF(D770=0,0,I770/D770)</f>
        <v>0.69375</v>
      </c>
      <c r="L770" s="16" t="n">
        <f aca="false">IF(J770=0,0,F770/J770)</f>
        <v>0.946546546546547</v>
      </c>
      <c r="M770" s="16" t="n">
        <f aca="false">IF(F770=0,0,G770/F770)</f>
        <v>0.950507614213198</v>
      </c>
      <c r="N770" s="16" t="n">
        <f aca="false">K770*L770*M770</f>
        <v>0.624166666666667</v>
      </c>
      <c r="O770" s="19" t="n">
        <f aca="false">MONTH(A770)</f>
        <v>9</v>
      </c>
      <c r="P770" s="19" t="n">
        <f aca="false">INT((A770-DATE(2026,7,1))/7)+1</f>
        <v>13</v>
      </c>
    </row>
    <row r="771" customFormat="false" ht="15" hidden="false" customHeight="false" outlineLevel="0" collapsed="false">
      <c r="A771" s="25" t="n">
        <v>46289</v>
      </c>
      <c r="B771" s="26" t="s">
        <v>17</v>
      </c>
      <c r="C771" s="26" t="s">
        <v>73</v>
      </c>
      <c r="D771" s="26" t="n">
        <v>480</v>
      </c>
      <c r="E771" s="26" t="n">
        <v>10</v>
      </c>
      <c r="F771" s="26" t="n">
        <v>3903</v>
      </c>
      <c r="G771" s="26" t="n">
        <v>3707</v>
      </c>
      <c r="H771" s="19" t="n">
        <f aca="false">SUMIFS(Paradas!$E$2:$E$1973,Paradas!$A$2:$A$1973,A771,Paradas!$B$2:$B$1973,B771,Paradas!$C$2:$C$1973,C771)</f>
        <v>51</v>
      </c>
      <c r="I771" s="19" t="n">
        <f aca="false">D771-H771</f>
        <v>429</v>
      </c>
      <c r="J771" s="19" t="n">
        <f aca="false">I771*E771</f>
        <v>4290</v>
      </c>
      <c r="K771" s="16" t="n">
        <f aca="false">IF(D771=0,0,I771/D771)</f>
        <v>0.89375</v>
      </c>
      <c r="L771" s="16" t="n">
        <f aca="false">IF(J771=0,0,F771/J771)</f>
        <v>0.90979020979021</v>
      </c>
      <c r="M771" s="16" t="n">
        <f aca="false">IF(F771=0,0,G771/F771)</f>
        <v>0.949782218806047</v>
      </c>
      <c r="N771" s="16" t="n">
        <f aca="false">K771*L771*M771</f>
        <v>0.772291666666667</v>
      </c>
      <c r="O771" s="19" t="n">
        <f aca="false">MONTH(A771)</f>
        <v>9</v>
      </c>
      <c r="P771" s="19" t="n">
        <f aca="false">INT((A771-DATE(2026,7,1))/7)+1</f>
        <v>13</v>
      </c>
    </row>
    <row r="772" customFormat="false" ht="15" hidden="false" customHeight="false" outlineLevel="0" collapsed="false">
      <c r="A772" s="25" t="n">
        <v>46289</v>
      </c>
      <c r="B772" s="26" t="s">
        <v>17</v>
      </c>
      <c r="C772" s="26" t="s">
        <v>74</v>
      </c>
      <c r="D772" s="26" t="n">
        <v>480</v>
      </c>
      <c r="E772" s="26" t="n">
        <v>10</v>
      </c>
      <c r="F772" s="26" t="n">
        <v>3830</v>
      </c>
      <c r="G772" s="26" t="n">
        <v>3606</v>
      </c>
      <c r="H772" s="19" t="n">
        <f aca="false">SUMIFS(Paradas!$E$2:$E$1973,Paradas!$A$2:$A$1973,A772,Paradas!$B$2:$B$1973,B772,Paradas!$C$2:$C$1973,C772)</f>
        <v>55</v>
      </c>
      <c r="I772" s="19" t="n">
        <f aca="false">D772-H772</f>
        <v>425</v>
      </c>
      <c r="J772" s="19" t="n">
        <f aca="false">I772*E772</f>
        <v>4250</v>
      </c>
      <c r="K772" s="16" t="n">
        <f aca="false">IF(D772=0,0,I772/D772)</f>
        <v>0.885416666666667</v>
      </c>
      <c r="L772" s="16" t="n">
        <f aca="false">IF(J772=0,0,F772/J772)</f>
        <v>0.901176470588235</v>
      </c>
      <c r="M772" s="16" t="n">
        <f aca="false">IF(F772=0,0,G772/F772)</f>
        <v>0.941514360313316</v>
      </c>
      <c r="N772" s="16" t="n">
        <f aca="false">K772*L772*M772</f>
        <v>0.75125</v>
      </c>
      <c r="O772" s="19" t="n">
        <f aca="false">MONTH(A772)</f>
        <v>9</v>
      </c>
      <c r="P772" s="19" t="n">
        <f aca="false">INT((A772-DATE(2026,7,1))/7)+1</f>
        <v>13</v>
      </c>
    </row>
    <row r="773" customFormat="false" ht="15" hidden="false" customHeight="false" outlineLevel="0" collapsed="false">
      <c r="A773" s="25" t="n">
        <v>46289</v>
      </c>
      <c r="B773" s="26" t="s">
        <v>18</v>
      </c>
      <c r="C773" s="26" t="s">
        <v>72</v>
      </c>
      <c r="D773" s="26" t="n">
        <v>480</v>
      </c>
      <c r="E773" s="26" t="n">
        <v>8</v>
      </c>
      <c r="F773" s="26" t="n">
        <v>3086</v>
      </c>
      <c r="G773" s="26" t="n">
        <v>2989</v>
      </c>
      <c r="H773" s="19" t="n">
        <f aca="false">SUMIFS(Paradas!$E$2:$E$1973,Paradas!$A$2:$A$1973,A773,Paradas!$B$2:$B$1973,B773,Paradas!$C$2:$C$1973,C773)</f>
        <v>75</v>
      </c>
      <c r="I773" s="19" t="n">
        <f aca="false">D773-H773</f>
        <v>405</v>
      </c>
      <c r="J773" s="19" t="n">
        <f aca="false">I773*E773</f>
        <v>3240</v>
      </c>
      <c r="K773" s="16" t="n">
        <f aca="false">IF(D773=0,0,I773/D773)</f>
        <v>0.84375</v>
      </c>
      <c r="L773" s="16" t="n">
        <f aca="false">IF(J773=0,0,F773/J773)</f>
        <v>0.952469135802469</v>
      </c>
      <c r="M773" s="16" t="n">
        <f aca="false">IF(F773=0,0,G773/F773)</f>
        <v>0.968567725210629</v>
      </c>
      <c r="N773" s="16" t="n">
        <f aca="false">K773*L773*M773</f>
        <v>0.778385416666667</v>
      </c>
      <c r="O773" s="19" t="n">
        <f aca="false">MONTH(A773)</f>
        <v>9</v>
      </c>
      <c r="P773" s="19" t="n">
        <f aca="false">INT((A773-DATE(2026,7,1))/7)+1</f>
        <v>13</v>
      </c>
    </row>
    <row r="774" customFormat="false" ht="15" hidden="false" customHeight="false" outlineLevel="0" collapsed="false">
      <c r="A774" s="25" t="n">
        <v>46289</v>
      </c>
      <c r="B774" s="26" t="s">
        <v>18</v>
      </c>
      <c r="C774" s="26" t="s">
        <v>73</v>
      </c>
      <c r="D774" s="26" t="n">
        <v>480</v>
      </c>
      <c r="E774" s="26" t="n">
        <v>8</v>
      </c>
      <c r="F774" s="26" t="n">
        <v>2961</v>
      </c>
      <c r="G774" s="26" t="n">
        <v>2861</v>
      </c>
      <c r="H774" s="19" t="n">
        <f aca="false">SUMIFS(Paradas!$E$2:$E$1973,Paradas!$A$2:$A$1973,A774,Paradas!$B$2:$B$1973,B774,Paradas!$C$2:$C$1973,C774)</f>
        <v>63</v>
      </c>
      <c r="I774" s="19" t="n">
        <f aca="false">D774-H774</f>
        <v>417</v>
      </c>
      <c r="J774" s="19" t="n">
        <f aca="false">I774*E774</f>
        <v>3336</v>
      </c>
      <c r="K774" s="16" t="n">
        <f aca="false">IF(D774=0,0,I774/D774)</f>
        <v>0.86875</v>
      </c>
      <c r="L774" s="16" t="n">
        <f aca="false">IF(J774=0,0,F774/J774)</f>
        <v>0.887589928057554</v>
      </c>
      <c r="M774" s="16" t="n">
        <f aca="false">IF(F774=0,0,G774/F774)</f>
        <v>0.966227625802094</v>
      </c>
      <c r="N774" s="16" t="n">
        <f aca="false">K774*L774*M774</f>
        <v>0.745052083333333</v>
      </c>
      <c r="O774" s="19" t="n">
        <f aca="false">MONTH(A774)</f>
        <v>9</v>
      </c>
      <c r="P774" s="19" t="n">
        <f aca="false">INT((A774-DATE(2026,7,1))/7)+1</f>
        <v>13</v>
      </c>
    </row>
    <row r="775" customFormat="false" ht="15" hidden="false" customHeight="false" outlineLevel="0" collapsed="false">
      <c r="A775" s="25" t="n">
        <v>46289</v>
      </c>
      <c r="B775" s="26" t="s">
        <v>18</v>
      </c>
      <c r="C775" s="26" t="s">
        <v>74</v>
      </c>
      <c r="D775" s="26" t="n">
        <v>480</v>
      </c>
      <c r="E775" s="26" t="n">
        <v>8</v>
      </c>
      <c r="F775" s="26" t="n">
        <v>2616</v>
      </c>
      <c r="G775" s="26" t="n">
        <v>2592</v>
      </c>
      <c r="H775" s="19" t="n">
        <f aca="false">SUMIFS(Paradas!$E$2:$E$1973,Paradas!$A$2:$A$1973,A775,Paradas!$B$2:$B$1973,B775,Paradas!$C$2:$C$1973,C775)</f>
        <v>95</v>
      </c>
      <c r="I775" s="19" t="n">
        <f aca="false">D775-H775</f>
        <v>385</v>
      </c>
      <c r="J775" s="19" t="n">
        <f aca="false">I775*E775</f>
        <v>3080</v>
      </c>
      <c r="K775" s="16" t="n">
        <f aca="false">IF(D775=0,0,I775/D775)</f>
        <v>0.802083333333333</v>
      </c>
      <c r="L775" s="16" t="n">
        <f aca="false">IF(J775=0,0,F775/J775)</f>
        <v>0.849350649350649</v>
      </c>
      <c r="M775" s="16" t="n">
        <f aca="false">IF(F775=0,0,G775/F775)</f>
        <v>0.990825688073395</v>
      </c>
      <c r="N775" s="16" t="n">
        <f aca="false">K775*L775*M775</f>
        <v>0.675</v>
      </c>
      <c r="O775" s="19" t="n">
        <f aca="false">MONTH(A775)</f>
        <v>9</v>
      </c>
      <c r="P775" s="19" t="n">
        <f aca="false">INT((A775-DATE(2026,7,1))/7)+1</f>
        <v>13</v>
      </c>
    </row>
    <row r="776" customFormat="false" ht="15" hidden="false" customHeight="false" outlineLevel="0" collapsed="false">
      <c r="A776" s="25" t="n">
        <v>46290</v>
      </c>
      <c r="B776" s="26" t="s">
        <v>16</v>
      </c>
      <c r="C776" s="26" t="s">
        <v>72</v>
      </c>
      <c r="D776" s="26" t="n">
        <v>480</v>
      </c>
      <c r="E776" s="26" t="n">
        <v>12</v>
      </c>
      <c r="F776" s="26" t="n">
        <v>3917</v>
      </c>
      <c r="G776" s="26" t="n">
        <v>3828</v>
      </c>
      <c r="H776" s="19" t="n">
        <f aca="false">SUMIFS(Paradas!$E$2:$E$1973,Paradas!$A$2:$A$1973,A776,Paradas!$B$2:$B$1973,B776,Paradas!$C$2:$C$1973,C776)</f>
        <v>118</v>
      </c>
      <c r="I776" s="19" t="n">
        <f aca="false">D776-H776</f>
        <v>362</v>
      </c>
      <c r="J776" s="19" t="n">
        <f aca="false">I776*E776</f>
        <v>4344</v>
      </c>
      <c r="K776" s="16" t="n">
        <f aca="false">IF(D776=0,0,I776/D776)</f>
        <v>0.754166666666667</v>
      </c>
      <c r="L776" s="16" t="n">
        <f aca="false">IF(J776=0,0,F776/J776)</f>
        <v>0.90170349907919</v>
      </c>
      <c r="M776" s="16" t="n">
        <f aca="false">IF(F776=0,0,G776/F776)</f>
        <v>0.977278529486852</v>
      </c>
      <c r="N776" s="16" t="n">
        <f aca="false">K776*L776*M776</f>
        <v>0.664583333333333</v>
      </c>
      <c r="O776" s="19" t="n">
        <f aca="false">MONTH(A776)</f>
        <v>9</v>
      </c>
      <c r="P776" s="19" t="n">
        <f aca="false">INT((A776-DATE(2026,7,1))/7)+1</f>
        <v>13</v>
      </c>
    </row>
    <row r="777" customFormat="false" ht="15" hidden="false" customHeight="false" outlineLevel="0" collapsed="false">
      <c r="A777" s="25" t="n">
        <v>46290</v>
      </c>
      <c r="B777" s="26" t="s">
        <v>16</v>
      </c>
      <c r="C777" s="26" t="s">
        <v>73</v>
      </c>
      <c r="D777" s="26" t="n">
        <v>480</v>
      </c>
      <c r="E777" s="26" t="n">
        <v>12</v>
      </c>
      <c r="F777" s="26" t="n">
        <v>4220</v>
      </c>
      <c r="G777" s="26" t="n">
        <v>4199</v>
      </c>
      <c r="H777" s="19" t="n">
        <f aca="false">SUMIFS(Paradas!$E$2:$E$1973,Paradas!$A$2:$A$1973,A777,Paradas!$B$2:$B$1973,B777,Paradas!$C$2:$C$1973,C777)</f>
        <v>84</v>
      </c>
      <c r="I777" s="19" t="n">
        <f aca="false">D777-H777</f>
        <v>396</v>
      </c>
      <c r="J777" s="19" t="n">
        <f aca="false">I777*E777</f>
        <v>4752</v>
      </c>
      <c r="K777" s="16" t="n">
        <f aca="false">IF(D777=0,0,I777/D777)</f>
        <v>0.825</v>
      </c>
      <c r="L777" s="16" t="n">
        <f aca="false">IF(J777=0,0,F777/J777)</f>
        <v>0.888047138047138</v>
      </c>
      <c r="M777" s="16" t="n">
        <f aca="false">IF(F777=0,0,G777/F777)</f>
        <v>0.995023696682465</v>
      </c>
      <c r="N777" s="16" t="n">
        <f aca="false">K777*L777*M777</f>
        <v>0.728993055555556</v>
      </c>
      <c r="O777" s="19" t="n">
        <f aca="false">MONTH(A777)</f>
        <v>9</v>
      </c>
      <c r="P777" s="19" t="n">
        <f aca="false">INT((A777-DATE(2026,7,1))/7)+1</f>
        <v>13</v>
      </c>
    </row>
    <row r="778" customFormat="false" ht="15" hidden="false" customHeight="false" outlineLevel="0" collapsed="false">
      <c r="A778" s="25" t="n">
        <v>46290</v>
      </c>
      <c r="B778" s="26" t="s">
        <v>16</v>
      </c>
      <c r="C778" s="26" t="s">
        <v>74</v>
      </c>
      <c r="D778" s="26" t="n">
        <v>480</v>
      </c>
      <c r="E778" s="26" t="n">
        <v>12</v>
      </c>
      <c r="F778" s="26" t="n">
        <v>4873</v>
      </c>
      <c r="G778" s="26" t="n">
        <v>4741</v>
      </c>
      <c r="H778" s="19" t="n">
        <f aca="false">SUMIFS(Paradas!$E$2:$E$1973,Paradas!$A$2:$A$1973,A778,Paradas!$B$2:$B$1973,B778,Paradas!$C$2:$C$1973,C778)</f>
        <v>0</v>
      </c>
      <c r="I778" s="19" t="n">
        <f aca="false">D778-H778</f>
        <v>480</v>
      </c>
      <c r="J778" s="19" t="n">
        <f aca="false">I778*E778</f>
        <v>5760</v>
      </c>
      <c r="K778" s="16" t="n">
        <f aca="false">IF(D778=0,0,I778/D778)</f>
        <v>1</v>
      </c>
      <c r="L778" s="16" t="n">
        <f aca="false">IF(J778=0,0,F778/J778)</f>
        <v>0.846006944444445</v>
      </c>
      <c r="M778" s="16" t="n">
        <f aca="false">IF(F778=0,0,G778/F778)</f>
        <v>0.972911963882619</v>
      </c>
      <c r="N778" s="16" t="n">
        <f aca="false">K778*L778*M778</f>
        <v>0.823090277777778</v>
      </c>
      <c r="O778" s="19" t="n">
        <f aca="false">MONTH(A778)</f>
        <v>9</v>
      </c>
      <c r="P778" s="19" t="n">
        <f aca="false">INT((A778-DATE(2026,7,1))/7)+1</f>
        <v>13</v>
      </c>
    </row>
    <row r="779" customFormat="false" ht="15" hidden="false" customHeight="false" outlineLevel="0" collapsed="false">
      <c r="A779" s="25" t="n">
        <v>46290</v>
      </c>
      <c r="B779" s="26" t="s">
        <v>17</v>
      </c>
      <c r="C779" s="26" t="s">
        <v>72</v>
      </c>
      <c r="D779" s="26" t="n">
        <v>480</v>
      </c>
      <c r="E779" s="26" t="n">
        <v>10</v>
      </c>
      <c r="F779" s="26" t="n">
        <v>3015</v>
      </c>
      <c r="G779" s="26" t="n">
        <v>2853</v>
      </c>
      <c r="H779" s="19" t="n">
        <f aca="false">SUMIFS(Paradas!$E$2:$E$1973,Paradas!$A$2:$A$1973,A779,Paradas!$B$2:$B$1973,B779,Paradas!$C$2:$C$1973,C779)</f>
        <v>143</v>
      </c>
      <c r="I779" s="19" t="n">
        <f aca="false">D779-H779</f>
        <v>337</v>
      </c>
      <c r="J779" s="19" t="n">
        <f aca="false">I779*E779</f>
        <v>3370</v>
      </c>
      <c r="K779" s="16" t="n">
        <f aca="false">IF(D779=0,0,I779/D779)</f>
        <v>0.702083333333333</v>
      </c>
      <c r="L779" s="16" t="n">
        <f aca="false">IF(J779=0,0,F779/J779)</f>
        <v>0.894658753709199</v>
      </c>
      <c r="M779" s="16" t="n">
        <f aca="false">IF(F779=0,0,G779/F779)</f>
        <v>0.946268656716418</v>
      </c>
      <c r="N779" s="16" t="n">
        <f aca="false">K779*L779*M779</f>
        <v>0.594375</v>
      </c>
      <c r="O779" s="19" t="n">
        <f aca="false">MONTH(A779)</f>
        <v>9</v>
      </c>
      <c r="P779" s="19" t="n">
        <f aca="false">INT((A779-DATE(2026,7,1))/7)+1</f>
        <v>13</v>
      </c>
    </row>
    <row r="780" customFormat="false" ht="15" hidden="false" customHeight="false" outlineLevel="0" collapsed="false">
      <c r="A780" s="25" t="n">
        <v>46290</v>
      </c>
      <c r="B780" s="26" t="s">
        <v>17</v>
      </c>
      <c r="C780" s="26" t="s">
        <v>73</v>
      </c>
      <c r="D780" s="26" t="n">
        <v>480</v>
      </c>
      <c r="E780" s="26" t="n">
        <v>10</v>
      </c>
      <c r="F780" s="26" t="n">
        <v>4247</v>
      </c>
      <c r="G780" s="26" t="n">
        <v>4051</v>
      </c>
      <c r="H780" s="19" t="n">
        <f aca="false">SUMIFS(Paradas!$E$2:$E$1973,Paradas!$A$2:$A$1973,A780,Paradas!$B$2:$B$1973,B780,Paradas!$C$2:$C$1973,C780)</f>
        <v>0</v>
      </c>
      <c r="I780" s="19" t="n">
        <f aca="false">D780-H780</f>
        <v>480</v>
      </c>
      <c r="J780" s="19" t="n">
        <f aca="false">I780*E780</f>
        <v>4800</v>
      </c>
      <c r="K780" s="16" t="n">
        <f aca="false">IF(D780=0,0,I780/D780)</f>
        <v>1</v>
      </c>
      <c r="L780" s="16" t="n">
        <f aca="false">IF(J780=0,0,F780/J780)</f>
        <v>0.884791666666667</v>
      </c>
      <c r="M780" s="16" t="n">
        <f aca="false">IF(F780=0,0,G780/F780)</f>
        <v>0.953849776312691</v>
      </c>
      <c r="N780" s="16" t="n">
        <f aca="false">K780*L780*M780</f>
        <v>0.843958333333333</v>
      </c>
      <c r="O780" s="19" t="n">
        <f aca="false">MONTH(A780)</f>
        <v>9</v>
      </c>
      <c r="P780" s="19" t="n">
        <f aca="false">INT((A780-DATE(2026,7,1))/7)+1</f>
        <v>13</v>
      </c>
    </row>
    <row r="781" customFormat="false" ht="15" hidden="false" customHeight="false" outlineLevel="0" collapsed="false">
      <c r="A781" s="25" t="n">
        <v>46290</v>
      </c>
      <c r="B781" s="26" t="s">
        <v>17</v>
      </c>
      <c r="C781" s="26" t="s">
        <v>74</v>
      </c>
      <c r="D781" s="26" t="n">
        <v>480</v>
      </c>
      <c r="E781" s="26" t="n">
        <v>10</v>
      </c>
      <c r="F781" s="26" t="n">
        <v>3607</v>
      </c>
      <c r="G781" s="26" t="n">
        <v>3450</v>
      </c>
      <c r="H781" s="19" t="n">
        <f aca="false">SUMIFS(Paradas!$E$2:$E$1973,Paradas!$A$2:$A$1973,A781,Paradas!$B$2:$B$1973,B781,Paradas!$C$2:$C$1973,C781)</f>
        <v>71</v>
      </c>
      <c r="I781" s="19" t="n">
        <f aca="false">D781-H781</f>
        <v>409</v>
      </c>
      <c r="J781" s="19" t="n">
        <f aca="false">I781*E781</f>
        <v>4090</v>
      </c>
      <c r="K781" s="16" t="n">
        <f aca="false">IF(D781=0,0,I781/D781)</f>
        <v>0.852083333333333</v>
      </c>
      <c r="L781" s="16" t="n">
        <f aca="false">IF(J781=0,0,F781/J781)</f>
        <v>0.881907090464548</v>
      </c>
      <c r="M781" s="16" t="n">
        <f aca="false">IF(F781=0,0,G781/F781)</f>
        <v>0.956473523703909</v>
      </c>
      <c r="N781" s="16" t="n">
        <f aca="false">K781*L781*M781</f>
        <v>0.71875</v>
      </c>
      <c r="O781" s="19" t="n">
        <f aca="false">MONTH(A781)</f>
        <v>9</v>
      </c>
      <c r="P781" s="19" t="n">
        <f aca="false">INT((A781-DATE(2026,7,1))/7)+1</f>
        <v>13</v>
      </c>
    </row>
    <row r="782" customFormat="false" ht="15" hidden="false" customHeight="false" outlineLevel="0" collapsed="false">
      <c r="A782" s="25" t="n">
        <v>46290</v>
      </c>
      <c r="B782" s="26" t="s">
        <v>18</v>
      </c>
      <c r="C782" s="26" t="s">
        <v>72</v>
      </c>
      <c r="D782" s="26" t="n">
        <v>480</v>
      </c>
      <c r="E782" s="26" t="n">
        <v>8</v>
      </c>
      <c r="F782" s="26" t="n">
        <v>2615</v>
      </c>
      <c r="G782" s="26" t="n">
        <v>2570</v>
      </c>
      <c r="H782" s="19" t="n">
        <f aca="false">SUMIFS(Paradas!$E$2:$E$1973,Paradas!$A$2:$A$1973,A782,Paradas!$B$2:$B$1973,B782,Paradas!$C$2:$C$1973,C782)</f>
        <v>123</v>
      </c>
      <c r="I782" s="19" t="n">
        <f aca="false">D782-H782</f>
        <v>357</v>
      </c>
      <c r="J782" s="19" t="n">
        <f aca="false">I782*E782</f>
        <v>2856</v>
      </c>
      <c r="K782" s="16" t="n">
        <f aca="false">IF(D782=0,0,I782/D782)</f>
        <v>0.74375</v>
      </c>
      <c r="L782" s="16" t="n">
        <f aca="false">IF(J782=0,0,F782/J782)</f>
        <v>0.915616246498599</v>
      </c>
      <c r="M782" s="16" t="n">
        <f aca="false">IF(F782=0,0,G782/F782)</f>
        <v>0.982791586998088</v>
      </c>
      <c r="N782" s="16" t="n">
        <f aca="false">K782*L782*M782</f>
        <v>0.669270833333333</v>
      </c>
      <c r="O782" s="19" t="n">
        <f aca="false">MONTH(A782)</f>
        <v>9</v>
      </c>
      <c r="P782" s="19" t="n">
        <f aca="false">INT((A782-DATE(2026,7,1))/7)+1</f>
        <v>13</v>
      </c>
    </row>
    <row r="783" customFormat="false" ht="15" hidden="false" customHeight="false" outlineLevel="0" collapsed="false">
      <c r="A783" s="25" t="n">
        <v>46290</v>
      </c>
      <c r="B783" s="26" t="s">
        <v>18</v>
      </c>
      <c r="C783" s="26" t="s">
        <v>73</v>
      </c>
      <c r="D783" s="26" t="n">
        <v>480</v>
      </c>
      <c r="E783" s="26" t="n">
        <v>8</v>
      </c>
      <c r="F783" s="26" t="n">
        <v>2377</v>
      </c>
      <c r="G783" s="26" t="n">
        <v>2314</v>
      </c>
      <c r="H783" s="19" t="n">
        <f aca="false">SUMIFS(Paradas!$E$2:$E$1973,Paradas!$A$2:$A$1973,A783,Paradas!$B$2:$B$1973,B783,Paradas!$C$2:$C$1973,C783)</f>
        <v>154</v>
      </c>
      <c r="I783" s="19" t="n">
        <f aca="false">D783-H783</f>
        <v>326</v>
      </c>
      <c r="J783" s="19" t="n">
        <f aca="false">I783*E783</f>
        <v>2608</v>
      </c>
      <c r="K783" s="16" t="n">
        <f aca="false">IF(D783=0,0,I783/D783)</f>
        <v>0.679166666666667</v>
      </c>
      <c r="L783" s="16" t="n">
        <f aca="false">IF(J783=0,0,F783/J783)</f>
        <v>0.911426380368098</v>
      </c>
      <c r="M783" s="16" t="n">
        <f aca="false">IF(F783=0,0,G783/F783)</f>
        <v>0.973496003365587</v>
      </c>
      <c r="N783" s="16" t="n">
        <f aca="false">K783*L783*M783</f>
        <v>0.602604166666667</v>
      </c>
      <c r="O783" s="19" t="n">
        <f aca="false">MONTH(A783)</f>
        <v>9</v>
      </c>
      <c r="P783" s="19" t="n">
        <f aca="false">INT((A783-DATE(2026,7,1))/7)+1</f>
        <v>13</v>
      </c>
    </row>
    <row r="784" customFormat="false" ht="15" hidden="false" customHeight="false" outlineLevel="0" collapsed="false">
      <c r="A784" s="25" t="n">
        <v>46290</v>
      </c>
      <c r="B784" s="26" t="s">
        <v>18</v>
      </c>
      <c r="C784" s="26" t="s">
        <v>74</v>
      </c>
      <c r="D784" s="26" t="n">
        <v>480</v>
      </c>
      <c r="E784" s="26" t="n">
        <v>8</v>
      </c>
      <c r="F784" s="26" t="n">
        <v>2447</v>
      </c>
      <c r="G784" s="26" t="n">
        <v>2383</v>
      </c>
      <c r="H784" s="19" t="n">
        <f aca="false">SUMIFS(Paradas!$E$2:$E$1973,Paradas!$A$2:$A$1973,A784,Paradas!$B$2:$B$1973,B784,Paradas!$C$2:$C$1973,C784)</f>
        <v>130</v>
      </c>
      <c r="I784" s="19" t="n">
        <f aca="false">D784-H784</f>
        <v>350</v>
      </c>
      <c r="J784" s="19" t="n">
        <f aca="false">I784*E784</f>
        <v>2800</v>
      </c>
      <c r="K784" s="16" t="n">
        <f aca="false">IF(D784=0,0,I784/D784)</f>
        <v>0.729166666666667</v>
      </c>
      <c r="L784" s="16" t="n">
        <f aca="false">IF(J784=0,0,F784/J784)</f>
        <v>0.873928571428571</v>
      </c>
      <c r="M784" s="16" t="n">
        <f aca="false">IF(F784=0,0,G784/F784)</f>
        <v>0.973845525132816</v>
      </c>
      <c r="N784" s="16" t="n">
        <f aca="false">K784*L784*M784</f>
        <v>0.620572916666667</v>
      </c>
      <c r="O784" s="19" t="n">
        <f aca="false">MONTH(A784)</f>
        <v>9</v>
      </c>
      <c r="P784" s="19" t="n">
        <f aca="false">INT((A784-DATE(2026,7,1))/7)+1</f>
        <v>13</v>
      </c>
    </row>
    <row r="785" customFormat="false" ht="15" hidden="false" customHeight="false" outlineLevel="0" collapsed="false">
      <c r="A785" s="25" t="n">
        <v>46291</v>
      </c>
      <c r="B785" s="26" t="s">
        <v>16</v>
      </c>
      <c r="C785" s="26" t="s">
        <v>72</v>
      </c>
      <c r="D785" s="26" t="n">
        <v>480</v>
      </c>
      <c r="E785" s="26" t="n">
        <v>12</v>
      </c>
      <c r="F785" s="26" t="n">
        <v>4409</v>
      </c>
      <c r="G785" s="26" t="n">
        <v>4354</v>
      </c>
      <c r="H785" s="19" t="n">
        <f aca="false">SUMIFS(Paradas!$E$2:$E$1973,Paradas!$A$2:$A$1973,A785,Paradas!$B$2:$B$1973,B785,Paradas!$C$2:$C$1973,C785)</f>
        <v>69</v>
      </c>
      <c r="I785" s="19" t="n">
        <f aca="false">D785-H785</f>
        <v>411</v>
      </c>
      <c r="J785" s="19" t="n">
        <f aca="false">I785*E785</f>
        <v>4932</v>
      </c>
      <c r="K785" s="16" t="n">
        <f aca="false">IF(D785=0,0,I785/D785)</f>
        <v>0.85625</v>
      </c>
      <c r="L785" s="16" t="n">
        <f aca="false">IF(J785=0,0,F785/J785)</f>
        <v>0.893957826439578</v>
      </c>
      <c r="M785" s="16" t="n">
        <f aca="false">IF(F785=0,0,G785/F785)</f>
        <v>0.98752551599002</v>
      </c>
      <c r="N785" s="16" t="n">
        <f aca="false">K785*L785*M785</f>
        <v>0.755902777777778</v>
      </c>
      <c r="O785" s="19" t="n">
        <f aca="false">MONTH(A785)</f>
        <v>9</v>
      </c>
      <c r="P785" s="19" t="n">
        <f aca="false">INT((A785-DATE(2026,7,1))/7)+1</f>
        <v>13</v>
      </c>
    </row>
    <row r="786" customFormat="false" ht="15" hidden="false" customHeight="false" outlineLevel="0" collapsed="false">
      <c r="A786" s="25" t="n">
        <v>46291</v>
      </c>
      <c r="B786" s="26" t="s">
        <v>16</v>
      </c>
      <c r="C786" s="26" t="s">
        <v>73</v>
      </c>
      <c r="D786" s="26" t="n">
        <v>480</v>
      </c>
      <c r="E786" s="26" t="n">
        <v>12</v>
      </c>
      <c r="F786" s="26" t="n">
        <v>3732</v>
      </c>
      <c r="G786" s="26" t="n">
        <v>3632</v>
      </c>
      <c r="H786" s="19" t="n">
        <f aca="false">SUMIFS(Paradas!$E$2:$E$1973,Paradas!$A$2:$A$1973,A786,Paradas!$B$2:$B$1973,B786,Paradas!$C$2:$C$1973,C786)</f>
        <v>137</v>
      </c>
      <c r="I786" s="19" t="n">
        <f aca="false">D786-H786</f>
        <v>343</v>
      </c>
      <c r="J786" s="19" t="n">
        <f aca="false">I786*E786</f>
        <v>4116</v>
      </c>
      <c r="K786" s="16" t="n">
        <f aca="false">IF(D786=0,0,I786/D786)</f>
        <v>0.714583333333333</v>
      </c>
      <c r="L786" s="16" t="n">
        <f aca="false">IF(J786=0,0,F786/J786)</f>
        <v>0.906705539358601</v>
      </c>
      <c r="M786" s="16" t="n">
        <f aca="false">IF(F786=0,0,G786/F786)</f>
        <v>0.973204715969989</v>
      </c>
      <c r="N786" s="16" t="n">
        <f aca="false">K786*L786*M786</f>
        <v>0.630555555555556</v>
      </c>
      <c r="O786" s="19" t="n">
        <f aca="false">MONTH(A786)</f>
        <v>9</v>
      </c>
      <c r="P786" s="19" t="n">
        <f aca="false">INT((A786-DATE(2026,7,1))/7)+1</f>
        <v>13</v>
      </c>
    </row>
    <row r="787" customFormat="false" ht="15" hidden="false" customHeight="false" outlineLevel="0" collapsed="false">
      <c r="A787" s="25" t="n">
        <v>46291</v>
      </c>
      <c r="B787" s="26" t="s">
        <v>16</v>
      </c>
      <c r="C787" s="26" t="s">
        <v>74</v>
      </c>
      <c r="D787" s="26" t="n">
        <v>480</v>
      </c>
      <c r="E787" s="26" t="n">
        <v>12</v>
      </c>
      <c r="F787" s="26" t="n">
        <v>4612</v>
      </c>
      <c r="G787" s="26" t="n">
        <v>4502</v>
      </c>
      <c r="H787" s="19" t="n">
        <f aca="false">SUMIFS(Paradas!$E$2:$E$1973,Paradas!$A$2:$A$1973,A787,Paradas!$B$2:$B$1973,B787,Paradas!$C$2:$C$1973,C787)</f>
        <v>39</v>
      </c>
      <c r="I787" s="19" t="n">
        <f aca="false">D787-H787</f>
        <v>441</v>
      </c>
      <c r="J787" s="19" t="n">
        <f aca="false">I787*E787</f>
        <v>5292</v>
      </c>
      <c r="K787" s="16" t="n">
        <f aca="false">IF(D787=0,0,I787/D787)</f>
        <v>0.91875</v>
      </c>
      <c r="L787" s="16" t="n">
        <f aca="false">IF(J787=0,0,F787/J787)</f>
        <v>0.871504157218443</v>
      </c>
      <c r="M787" s="16" t="n">
        <f aca="false">IF(F787=0,0,G787/F787)</f>
        <v>0.976149176062446</v>
      </c>
      <c r="N787" s="16" t="n">
        <f aca="false">K787*L787*M787</f>
        <v>0.781597222222222</v>
      </c>
      <c r="O787" s="19" t="n">
        <f aca="false">MONTH(A787)</f>
        <v>9</v>
      </c>
      <c r="P787" s="19" t="n">
        <f aca="false">INT((A787-DATE(2026,7,1))/7)+1</f>
        <v>13</v>
      </c>
    </row>
    <row r="788" customFormat="false" ht="15" hidden="false" customHeight="false" outlineLevel="0" collapsed="false">
      <c r="A788" s="25" t="n">
        <v>46291</v>
      </c>
      <c r="B788" s="26" t="s">
        <v>17</v>
      </c>
      <c r="C788" s="26" t="s">
        <v>72</v>
      </c>
      <c r="D788" s="26" t="n">
        <v>480</v>
      </c>
      <c r="E788" s="26" t="n">
        <v>10</v>
      </c>
      <c r="F788" s="26" t="n">
        <v>3675</v>
      </c>
      <c r="G788" s="26" t="n">
        <v>3463</v>
      </c>
      <c r="H788" s="19" t="n">
        <f aca="false">SUMIFS(Paradas!$E$2:$E$1973,Paradas!$A$2:$A$1973,A788,Paradas!$B$2:$B$1973,B788,Paradas!$C$2:$C$1973,C788)</f>
        <v>68</v>
      </c>
      <c r="I788" s="19" t="n">
        <f aca="false">D788-H788</f>
        <v>412</v>
      </c>
      <c r="J788" s="19" t="n">
        <f aca="false">I788*E788</f>
        <v>4120</v>
      </c>
      <c r="K788" s="16" t="n">
        <f aca="false">IF(D788=0,0,I788/D788)</f>
        <v>0.858333333333333</v>
      </c>
      <c r="L788" s="16" t="n">
        <f aca="false">IF(J788=0,0,F788/J788)</f>
        <v>0.891990291262136</v>
      </c>
      <c r="M788" s="16" t="n">
        <f aca="false">IF(F788=0,0,G788/F788)</f>
        <v>0.942312925170068</v>
      </c>
      <c r="N788" s="16" t="n">
        <f aca="false">K788*L788*M788</f>
        <v>0.721458333333333</v>
      </c>
      <c r="O788" s="19" t="n">
        <f aca="false">MONTH(A788)</f>
        <v>9</v>
      </c>
      <c r="P788" s="19" t="n">
        <f aca="false">INT((A788-DATE(2026,7,1))/7)+1</f>
        <v>13</v>
      </c>
    </row>
    <row r="789" customFormat="false" ht="15" hidden="false" customHeight="false" outlineLevel="0" collapsed="false">
      <c r="A789" s="25" t="n">
        <v>46291</v>
      </c>
      <c r="B789" s="26" t="s">
        <v>17</v>
      </c>
      <c r="C789" s="26" t="s">
        <v>73</v>
      </c>
      <c r="D789" s="26" t="n">
        <v>480</v>
      </c>
      <c r="E789" s="26" t="n">
        <v>10</v>
      </c>
      <c r="F789" s="26" t="n">
        <v>3966</v>
      </c>
      <c r="G789" s="26" t="n">
        <v>3870</v>
      </c>
      <c r="H789" s="19" t="n">
        <f aca="false">SUMIFS(Paradas!$E$2:$E$1973,Paradas!$A$2:$A$1973,A789,Paradas!$B$2:$B$1973,B789,Paradas!$C$2:$C$1973,C789)</f>
        <v>52</v>
      </c>
      <c r="I789" s="19" t="n">
        <f aca="false">D789-H789</f>
        <v>428</v>
      </c>
      <c r="J789" s="19" t="n">
        <f aca="false">I789*E789</f>
        <v>4280</v>
      </c>
      <c r="K789" s="16" t="n">
        <f aca="false">IF(D789=0,0,I789/D789)</f>
        <v>0.891666666666667</v>
      </c>
      <c r="L789" s="16" t="n">
        <f aca="false">IF(J789=0,0,F789/J789)</f>
        <v>0.926635514018692</v>
      </c>
      <c r="M789" s="16" t="n">
        <f aca="false">IF(F789=0,0,G789/F789)</f>
        <v>0.975794251134645</v>
      </c>
      <c r="N789" s="16" t="n">
        <f aca="false">K789*L789*M789</f>
        <v>0.80625</v>
      </c>
      <c r="O789" s="19" t="n">
        <f aca="false">MONTH(A789)</f>
        <v>9</v>
      </c>
      <c r="P789" s="19" t="n">
        <f aca="false">INT((A789-DATE(2026,7,1))/7)+1</f>
        <v>13</v>
      </c>
    </row>
    <row r="790" customFormat="false" ht="15" hidden="false" customHeight="false" outlineLevel="0" collapsed="false">
      <c r="A790" s="25" t="n">
        <v>46291</v>
      </c>
      <c r="B790" s="26" t="s">
        <v>17</v>
      </c>
      <c r="C790" s="26" t="s">
        <v>74</v>
      </c>
      <c r="D790" s="26" t="n">
        <v>480</v>
      </c>
      <c r="E790" s="26" t="n">
        <v>10</v>
      </c>
      <c r="F790" s="26" t="n">
        <v>3612</v>
      </c>
      <c r="G790" s="26" t="n">
        <v>3429</v>
      </c>
      <c r="H790" s="19" t="n">
        <f aca="false">SUMIFS(Paradas!$E$2:$E$1973,Paradas!$A$2:$A$1973,A790,Paradas!$B$2:$B$1973,B790,Paradas!$C$2:$C$1973,C790)</f>
        <v>54</v>
      </c>
      <c r="I790" s="19" t="n">
        <f aca="false">D790-H790</f>
        <v>426</v>
      </c>
      <c r="J790" s="19" t="n">
        <f aca="false">I790*E790</f>
        <v>4260</v>
      </c>
      <c r="K790" s="16" t="n">
        <f aca="false">IF(D790=0,0,I790/D790)</f>
        <v>0.8875</v>
      </c>
      <c r="L790" s="16" t="n">
        <f aca="false">IF(J790=0,0,F790/J790)</f>
        <v>0.847887323943662</v>
      </c>
      <c r="M790" s="16" t="n">
        <f aca="false">IF(F790=0,0,G790/F790)</f>
        <v>0.949335548172757</v>
      </c>
      <c r="N790" s="16" t="n">
        <f aca="false">K790*L790*M790</f>
        <v>0.714375</v>
      </c>
      <c r="O790" s="19" t="n">
        <f aca="false">MONTH(A790)</f>
        <v>9</v>
      </c>
      <c r="P790" s="19" t="n">
        <f aca="false">INT((A790-DATE(2026,7,1))/7)+1</f>
        <v>13</v>
      </c>
    </row>
    <row r="791" customFormat="false" ht="15" hidden="false" customHeight="false" outlineLevel="0" collapsed="false">
      <c r="A791" s="25" t="n">
        <v>46291</v>
      </c>
      <c r="B791" s="26" t="s">
        <v>18</v>
      </c>
      <c r="C791" s="26" t="s">
        <v>72</v>
      </c>
      <c r="D791" s="26" t="n">
        <v>480</v>
      </c>
      <c r="E791" s="26" t="n">
        <v>8</v>
      </c>
      <c r="F791" s="26" t="n">
        <v>3229</v>
      </c>
      <c r="G791" s="26" t="n">
        <v>3176</v>
      </c>
      <c r="H791" s="19" t="n">
        <f aca="false">SUMIFS(Paradas!$E$2:$E$1973,Paradas!$A$2:$A$1973,A791,Paradas!$B$2:$B$1973,B791,Paradas!$C$2:$C$1973,C791)</f>
        <v>48</v>
      </c>
      <c r="I791" s="19" t="n">
        <f aca="false">D791-H791</f>
        <v>432</v>
      </c>
      <c r="J791" s="19" t="n">
        <f aca="false">I791*E791</f>
        <v>3456</v>
      </c>
      <c r="K791" s="16" t="n">
        <f aca="false">IF(D791=0,0,I791/D791)</f>
        <v>0.9</v>
      </c>
      <c r="L791" s="16" t="n">
        <f aca="false">IF(J791=0,0,F791/J791)</f>
        <v>0.93431712962963</v>
      </c>
      <c r="M791" s="16" t="n">
        <f aca="false">IF(F791=0,0,G791/F791)</f>
        <v>0.983586249612883</v>
      </c>
      <c r="N791" s="16" t="n">
        <f aca="false">K791*L791*M791</f>
        <v>0.827083333333333</v>
      </c>
      <c r="O791" s="19" t="n">
        <f aca="false">MONTH(A791)</f>
        <v>9</v>
      </c>
      <c r="P791" s="19" t="n">
        <f aca="false">INT((A791-DATE(2026,7,1))/7)+1</f>
        <v>13</v>
      </c>
    </row>
    <row r="792" customFormat="false" ht="15" hidden="false" customHeight="false" outlineLevel="0" collapsed="false">
      <c r="A792" s="25" t="n">
        <v>46291</v>
      </c>
      <c r="B792" s="26" t="s">
        <v>18</v>
      </c>
      <c r="C792" s="26" t="s">
        <v>73</v>
      </c>
      <c r="D792" s="26" t="n">
        <v>480</v>
      </c>
      <c r="E792" s="26" t="n">
        <v>8</v>
      </c>
      <c r="F792" s="26" t="n">
        <v>3415</v>
      </c>
      <c r="G792" s="26" t="n">
        <v>3345</v>
      </c>
      <c r="H792" s="19" t="n">
        <f aca="false">SUMIFS(Paradas!$E$2:$E$1973,Paradas!$A$2:$A$1973,A792,Paradas!$B$2:$B$1973,B792,Paradas!$C$2:$C$1973,C792)</f>
        <v>24</v>
      </c>
      <c r="I792" s="19" t="n">
        <f aca="false">D792-H792</f>
        <v>456</v>
      </c>
      <c r="J792" s="19" t="n">
        <f aca="false">I792*E792</f>
        <v>3648</v>
      </c>
      <c r="K792" s="16" t="n">
        <f aca="false">IF(D792=0,0,I792/D792)</f>
        <v>0.95</v>
      </c>
      <c r="L792" s="16" t="n">
        <f aca="false">IF(J792=0,0,F792/J792)</f>
        <v>0.936129385964912</v>
      </c>
      <c r="M792" s="16" t="n">
        <f aca="false">IF(F792=0,0,G792/F792)</f>
        <v>0.979502196193265</v>
      </c>
      <c r="N792" s="16" t="n">
        <f aca="false">K792*L792*M792</f>
        <v>0.87109375</v>
      </c>
      <c r="O792" s="19" t="n">
        <f aca="false">MONTH(A792)</f>
        <v>9</v>
      </c>
      <c r="P792" s="19" t="n">
        <f aca="false">INT((A792-DATE(2026,7,1))/7)+1</f>
        <v>13</v>
      </c>
    </row>
    <row r="793" customFormat="false" ht="15" hidden="false" customHeight="false" outlineLevel="0" collapsed="false">
      <c r="A793" s="25" t="n">
        <v>46291</v>
      </c>
      <c r="B793" s="26" t="s">
        <v>18</v>
      </c>
      <c r="C793" s="26" t="s">
        <v>74</v>
      </c>
      <c r="D793" s="26" t="n">
        <v>480</v>
      </c>
      <c r="E793" s="26" t="n">
        <v>8</v>
      </c>
      <c r="F793" s="26" t="n">
        <v>2998</v>
      </c>
      <c r="G793" s="26" t="n">
        <v>2925</v>
      </c>
      <c r="H793" s="19" t="n">
        <f aca="false">SUMIFS(Paradas!$E$2:$E$1973,Paradas!$A$2:$A$1973,A793,Paradas!$B$2:$B$1973,B793,Paradas!$C$2:$C$1973,C793)</f>
        <v>63</v>
      </c>
      <c r="I793" s="19" t="n">
        <f aca="false">D793-H793</f>
        <v>417</v>
      </c>
      <c r="J793" s="19" t="n">
        <f aca="false">I793*E793</f>
        <v>3336</v>
      </c>
      <c r="K793" s="16" t="n">
        <f aca="false">IF(D793=0,0,I793/D793)</f>
        <v>0.86875</v>
      </c>
      <c r="L793" s="16" t="n">
        <f aca="false">IF(J793=0,0,F793/J793)</f>
        <v>0.898681055155875</v>
      </c>
      <c r="M793" s="16" t="n">
        <f aca="false">IF(F793=0,0,G793/F793)</f>
        <v>0.975650433622415</v>
      </c>
      <c r="N793" s="16" t="n">
        <f aca="false">K793*L793*M793</f>
        <v>0.76171875</v>
      </c>
      <c r="O793" s="19" t="n">
        <f aca="false">MONTH(A793)</f>
        <v>9</v>
      </c>
      <c r="P793" s="19" t="n">
        <f aca="false">INT((A793-DATE(2026,7,1))/7)+1</f>
        <v>13</v>
      </c>
    </row>
    <row r="794" customFormat="false" ht="15" hidden="false" customHeight="false" outlineLevel="0" collapsed="false">
      <c r="A794" s="25" t="n">
        <v>46292</v>
      </c>
      <c r="B794" s="26" t="s">
        <v>16</v>
      </c>
      <c r="C794" s="26" t="s">
        <v>72</v>
      </c>
      <c r="D794" s="26" t="n">
        <v>480</v>
      </c>
      <c r="E794" s="26" t="n">
        <v>12</v>
      </c>
      <c r="F794" s="26" t="n">
        <v>3841</v>
      </c>
      <c r="G794" s="26" t="n">
        <v>3792</v>
      </c>
      <c r="H794" s="19" t="n">
        <f aca="false">SUMIFS(Paradas!$E$2:$E$1973,Paradas!$A$2:$A$1973,A794,Paradas!$B$2:$B$1973,B794,Paradas!$C$2:$C$1973,C794)</f>
        <v>134</v>
      </c>
      <c r="I794" s="19" t="n">
        <f aca="false">D794-H794</f>
        <v>346</v>
      </c>
      <c r="J794" s="19" t="n">
        <f aca="false">I794*E794</f>
        <v>4152</v>
      </c>
      <c r="K794" s="16" t="n">
        <f aca="false">IF(D794=0,0,I794/D794)</f>
        <v>0.720833333333333</v>
      </c>
      <c r="L794" s="16" t="n">
        <f aca="false">IF(J794=0,0,F794/J794)</f>
        <v>0.92509633911368</v>
      </c>
      <c r="M794" s="16" t="n">
        <f aca="false">IF(F794=0,0,G794/F794)</f>
        <v>0.987242905493361</v>
      </c>
      <c r="N794" s="16" t="n">
        <f aca="false">K794*L794*M794</f>
        <v>0.658333333333333</v>
      </c>
      <c r="O794" s="19" t="n">
        <f aca="false">MONTH(A794)</f>
        <v>9</v>
      </c>
      <c r="P794" s="19" t="n">
        <f aca="false">INT((A794-DATE(2026,7,1))/7)+1</f>
        <v>13</v>
      </c>
    </row>
    <row r="795" customFormat="false" ht="15" hidden="false" customHeight="false" outlineLevel="0" collapsed="false">
      <c r="A795" s="25" t="n">
        <v>46292</v>
      </c>
      <c r="B795" s="26" t="s">
        <v>16</v>
      </c>
      <c r="C795" s="26" t="s">
        <v>73</v>
      </c>
      <c r="D795" s="26" t="n">
        <v>480</v>
      </c>
      <c r="E795" s="26" t="n">
        <v>12</v>
      </c>
      <c r="F795" s="26" t="n">
        <v>4148</v>
      </c>
      <c r="G795" s="26" t="n">
        <v>4078</v>
      </c>
      <c r="H795" s="19" t="n">
        <f aca="false">SUMIFS(Paradas!$E$2:$E$1973,Paradas!$A$2:$A$1973,A795,Paradas!$B$2:$B$1973,B795,Paradas!$C$2:$C$1973,C795)</f>
        <v>116</v>
      </c>
      <c r="I795" s="19" t="n">
        <f aca="false">D795-H795</f>
        <v>364</v>
      </c>
      <c r="J795" s="19" t="n">
        <f aca="false">I795*E795</f>
        <v>4368</v>
      </c>
      <c r="K795" s="16" t="n">
        <f aca="false">IF(D795=0,0,I795/D795)</f>
        <v>0.758333333333333</v>
      </c>
      <c r="L795" s="16" t="n">
        <f aca="false">IF(J795=0,0,F795/J795)</f>
        <v>0.9496336996337</v>
      </c>
      <c r="M795" s="16" t="n">
        <f aca="false">IF(F795=0,0,G795/F795)</f>
        <v>0.983124397299904</v>
      </c>
      <c r="N795" s="16" t="n">
        <f aca="false">K795*L795*M795</f>
        <v>0.707986111111111</v>
      </c>
      <c r="O795" s="19" t="n">
        <f aca="false">MONTH(A795)</f>
        <v>9</v>
      </c>
      <c r="P795" s="19" t="n">
        <f aca="false">INT((A795-DATE(2026,7,1))/7)+1</f>
        <v>13</v>
      </c>
    </row>
    <row r="796" customFormat="false" ht="15" hidden="false" customHeight="false" outlineLevel="0" collapsed="false">
      <c r="A796" s="25" t="n">
        <v>46292</v>
      </c>
      <c r="B796" s="26" t="s">
        <v>16</v>
      </c>
      <c r="C796" s="26" t="s">
        <v>74</v>
      </c>
      <c r="D796" s="26" t="n">
        <v>480</v>
      </c>
      <c r="E796" s="26" t="n">
        <v>12</v>
      </c>
      <c r="F796" s="26" t="n">
        <v>3955</v>
      </c>
      <c r="G796" s="26" t="n">
        <v>3883</v>
      </c>
      <c r="H796" s="19" t="n">
        <f aca="false">SUMIFS(Paradas!$E$2:$E$1973,Paradas!$A$2:$A$1973,A796,Paradas!$B$2:$B$1973,B796,Paradas!$C$2:$C$1973,C796)</f>
        <v>57</v>
      </c>
      <c r="I796" s="19" t="n">
        <f aca="false">D796-H796</f>
        <v>423</v>
      </c>
      <c r="J796" s="19" t="n">
        <f aca="false">I796*E796</f>
        <v>5076</v>
      </c>
      <c r="K796" s="16" t="n">
        <f aca="false">IF(D796=0,0,I796/D796)</f>
        <v>0.88125</v>
      </c>
      <c r="L796" s="16" t="n">
        <f aca="false">IF(J796=0,0,F796/J796)</f>
        <v>0.779156816390859</v>
      </c>
      <c r="M796" s="16" t="n">
        <f aca="false">IF(F796=0,0,G796/F796)</f>
        <v>0.981795195954488</v>
      </c>
      <c r="N796" s="16" t="n">
        <f aca="false">K796*L796*M796</f>
        <v>0.674131944444444</v>
      </c>
      <c r="O796" s="19" t="n">
        <f aca="false">MONTH(A796)</f>
        <v>9</v>
      </c>
      <c r="P796" s="19" t="n">
        <f aca="false">INT((A796-DATE(2026,7,1))/7)+1</f>
        <v>13</v>
      </c>
    </row>
    <row r="797" customFormat="false" ht="15" hidden="false" customHeight="false" outlineLevel="0" collapsed="false">
      <c r="A797" s="25" t="n">
        <v>46292</v>
      </c>
      <c r="B797" s="26" t="s">
        <v>17</v>
      </c>
      <c r="C797" s="26" t="s">
        <v>72</v>
      </c>
      <c r="D797" s="26" t="n">
        <v>480</v>
      </c>
      <c r="E797" s="26" t="n">
        <v>10</v>
      </c>
      <c r="F797" s="26" t="n">
        <v>3651</v>
      </c>
      <c r="G797" s="26" t="n">
        <v>3530</v>
      </c>
      <c r="H797" s="19" t="n">
        <f aca="false">SUMIFS(Paradas!$E$2:$E$1973,Paradas!$A$2:$A$1973,A797,Paradas!$B$2:$B$1973,B797,Paradas!$C$2:$C$1973,C797)</f>
        <v>80</v>
      </c>
      <c r="I797" s="19" t="n">
        <f aca="false">D797-H797</f>
        <v>400</v>
      </c>
      <c r="J797" s="19" t="n">
        <f aca="false">I797*E797</f>
        <v>4000</v>
      </c>
      <c r="K797" s="16" t="n">
        <f aca="false">IF(D797=0,0,I797/D797)</f>
        <v>0.833333333333333</v>
      </c>
      <c r="L797" s="16" t="n">
        <f aca="false">IF(J797=0,0,F797/J797)</f>
        <v>0.91275</v>
      </c>
      <c r="M797" s="16" t="n">
        <f aca="false">IF(F797=0,0,G797/F797)</f>
        <v>0.966858394960285</v>
      </c>
      <c r="N797" s="16" t="n">
        <f aca="false">K797*L797*M797</f>
        <v>0.735416666666667</v>
      </c>
      <c r="O797" s="19" t="n">
        <f aca="false">MONTH(A797)</f>
        <v>9</v>
      </c>
      <c r="P797" s="19" t="n">
        <f aca="false">INT((A797-DATE(2026,7,1))/7)+1</f>
        <v>13</v>
      </c>
    </row>
    <row r="798" customFormat="false" ht="15" hidden="false" customHeight="false" outlineLevel="0" collapsed="false">
      <c r="A798" s="25" t="n">
        <v>46292</v>
      </c>
      <c r="B798" s="26" t="s">
        <v>17</v>
      </c>
      <c r="C798" s="26" t="s">
        <v>73</v>
      </c>
      <c r="D798" s="26" t="n">
        <v>480</v>
      </c>
      <c r="E798" s="26" t="n">
        <v>10</v>
      </c>
      <c r="F798" s="26" t="n">
        <v>3890</v>
      </c>
      <c r="G798" s="26" t="n">
        <v>3707</v>
      </c>
      <c r="H798" s="19" t="n">
        <f aca="false">SUMIFS(Paradas!$E$2:$E$1973,Paradas!$A$2:$A$1973,A798,Paradas!$B$2:$B$1973,B798,Paradas!$C$2:$C$1973,C798)</f>
        <v>34</v>
      </c>
      <c r="I798" s="19" t="n">
        <f aca="false">D798-H798</f>
        <v>446</v>
      </c>
      <c r="J798" s="19" t="n">
        <f aca="false">I798*E798</f>
        <v>4460</v>
      </c>
      <c r="K798" s="16" t="n">
        <f aca="false">IF(D798=0,0,I798/D798)</f>
        <v>0.929166666666667</v>
      </c>
      <c r="L798" s="16" t="n">
        <f aca="false">IF(J798=0,0,F798/J798)</f>
        <v>0.87219730941704</v>
      </c>
      <c r="M798" s="16" t="n">
        <f aca="false">IF(F798=0,0,G798/F798)</f>
        <v>0.952956298200514</v>
      </c>
      <c r="N798" s="16" t="n">
        <f aca="false">K798*L798*M798</f>
        <v>0.772291666666667</v>
      </c>
      <c r="O798" s="19" t="n">
        <f aca="false">MONTH(A798)</f>
        <v>9</v>
      </c>
      <c r="P798" s="19" t="n">
        <f aca="false">INT((A798-DATE(2026,7,1))/7)+1</f>
        <v>13</v>
      </c>
    </row>
    <row r="799" customFormat="false" ht="15" hidden="false" customHeight="false" outlineLevel="0" collapsed="false">
      <c r="A799" s="25" t="n">
        <v>46292</v>
      </c>
      <c r="B799" s="26" t="s">
        <v>17</v>
      </c>
      <c r="C799" s="26" t="s">
        <v>74</v>
      </c>
      <c r="D799" s="26" t="n">
        <v>480</v>
      </c>
      <c r="E799" s="26" t="n">
        <v>10</v>
      </c>
      <c r="F799" s="26" t="n">
        <v>2678</v>
      </c>
      <c r="G799" s="26" t="n">
        <v>2561</v>
      </c>
      <c r="H799" s="19" t="n">
        <f aca="false">SUMIFS(Paradas!$E$2:$E$1973,Paradas!$A$2:$A$1973,A799,Paradas!$B$2:$B$1973,B799,Paradas!$C$2:$C$1973,C799)</f>
        <v>165</v>
      </c>
      <c r="I799" s="19" t="n">
        <f aca="false">D799-H799</f>
        <v>315</v>
      </c>
      <c r="J799" s="19" t="n">
        <f aca="false">I799*E799</f>
        <v>3150</v>
      </c>
      <c r="K799" s="16" t="n">
        <f aca="false">IF(D799=0,0,I799/D799)</f>
        <v>0.65625</v>
      </c>
      <c r="L799" s="16" t="n">
        <f aca="false">IF(J799=0,0,F799/J799)</f>
        <v>0.85015873015873</v>
      </c>
      <c r="M799" s="16" t="n">
        <f aca="false">IF(F799=0,0,G799/F799)</f>
        <v>0.956310679611651</v>
      </c>
      <c r="N799" s="16" t="n">
        <f aca="false">K799*L799*M799</f>
        <v>0.533541666666667</v>
      </c>
      <c r="O799" s="19" t="n">
        <f aca="false">MONTH(A799)</f>
        <v>9</v>
      </c>
      <c r="P799" s="19" t="n">
        <f aca="false">INT((A799-DATE(2026,7,1))/7)+1</f>
        <v>13</v>
      </c>
    </row>
    <row r="800" customFormat="false" ht="15" hidden="false" customHeight="false" outlineLevel="0" collapsed="false">
      <c r="A800" s="25" t="n">
        <v>46292</v>
      </c>
      <c r="B800" s="26" t="s">
        <v>18</v>
      </c>
      <c r="C800" s="26" t="s">
        <v>72</v>
      </c>
      <c r="D800" s="26" t="n">
        <v>480</v>
      </c>
      <c r="E800" s="26" t="n">
        <v>8</v>
      </c>
      <c r="F800" s="26" t="n">
        <v>3219</v>
      </c>
      <c r="G800" s="26" t="n">
        <v>3079</v>
      </c>
      <c r="H800" s="19" t="n">
        <f aca="false">SUMIFS(Paradas!$E$2:$E$1973,Paradas!$A$2:$A$1973,A800,Paradas!$B$2:$B$1973,B800,Paradas!$C$2:$C$1973,C800)</f>
        <v>22</v>
      </c>
      <c r="I800" s="19" t="n">
        <f aca="false">D800-H800</f>
        <v>458</v>
      </c>
      <c r="J800" s="19" t="n">
        <f aca="false">I800*E800</f>
        <v>3664</v>
      </c>
      <c r="K800" s="16" t="n">
        <f aca="false">IF(D800=0,0,I800/D800)</f>
        <v>0.954166666666667</v>
      </c>
      <c r="L800" s="16" t="n">
        <f aca="false">IF(J800=0,0,F800/J800)</f>
        <v>0.878548034934498</v>
      </c>
      <c r="M800" s="16" t="n">
        <f aca="false">IF(F800=0,0,G800/F800)</f>
        <v>0.956508232370301</v>
      </c>
      <c r="N800" s="16" t="n">
        <f aca="false">K800*L800*M800</f>
        <v>0.801822916666667</v>
      </c>
      <c r="O800" s="19" t="n">
        <f aca="false">MONTH(A800)</f>
        <v>9</v>
      </c>
      <c r="P800" s="19" t="n">
        <f aca="false">INT((A800-DATE(2026,7,1))/7)+1</f>
        <v>13</v>
      </c>
    </row>
    <row r="801" customFormat="false" ht="15" hidden="false" customHeight="false" outlineLevel="0" collapsed="false">
      <c r="A801" s="25" t="n">
        <v>46292</v>
      </c>
      <c r="B801" s="26" t="s">
        <v>18</v>
      </c>
      <c r="C801" s="26" t="s">
        <v>73</v>
      </c>
      <c r="D801" s="26" t="n">
        <v>480</v>
      </c>
      <c r="E801" s="26" t="n">
        <v>8</v>
      </c>
      <c r="F801" s="26" t="n">
        <v>2739</v>
      </c>
      <c r="G801" s="26" t="n">
        <v>2643</v>
      </c>
      <c r="H801" s="19" t="n">
        <f aca="false">SUMIFS(Paradas!$E$2:$E$1973,Paradas!$A$2:$A$1973,A801,Paradas!$B$2:$B$1973,B801,Paradas!$C$2:$C$1973,C801)</f>
        <v>95</v>
      </c>
      <c r="I801" s="19" t="n">
        <f aca="false">D801-H801</f>
        <v>385</v>
      </c>
      <c r="J801" s="19" t="n">
        <f aca="false">I801*E801</f>
        <v>3080</v>
      </c>
      <c r="K801" s="16" t="n">
        <f aca="false">IF(D801=0,0,I801/D801)</f>
        <v>0.802083333333333</v>
      </c>
      <c r="L801" s="16" t="n">
        <f aca="false">IF(J801=0,0,F801/J801)</f>
        <v>0.889285714285714</v>
      </c>
      <c r="M801" s="16" t="n">
        <f aca="false">IF(F801=0,0,G801/F801)</f>
        <v>0.964950711938664</v>
      </c>
      <c r="N801" s="16" t="n">
        <f aca="false">K801*L801*M801</f>
        <v>0.68828125</v>
      </c>
      <c r="O801" s="19" t="n">
        <f aca="false">MONTH(A801)</f>
        <v>9</v>
      </c>
      <c r="P801" s="19" t="n">
        <f aca="false">INT((A801-DATE(2026,7,1))/7)+1</f>
        <v>13</v>
      </c>
    </row>
    <row r="802" customFormat="false" ht="15" hidden="false" customHeight="false" outlineLevel="0" collapsed="false">
      <c r="A802" s="25" t="n">
        <v>46292</v>
      </c>
      <c r="B802" s="26" t="s">
        <v>18</v>
      </c>
      <c r="C802" s="26" t="s">
        <v>74</v>
      </c>
      <c r="D802" s="26" t="n">
        <v>480</v>
      </c>
      <c r="E802" s="26" t="n">
        <v>8</v>
      </c>
      <c r="F802" s="26" t="n">
        <v>2811</v>
      </c>
      <c r="G802" s="26" t="n">
        <v>2729</v>
      </c>
      <c r="H802" s="19" t="n">
        <f aca="false">SUMIFS(Paradas!$E$2:$E$1973,Paradas!$A$2:$A$1973,A802,Paradas!$B$2:$B$1973,B802,Paradas!$C$2:$C$1973,C802)</f>
        <v>51</v>
      </c>
      <c r="I802" s="19" t="n">
        <f aca="false">D802-H802</f>
        <v>429</v>
      </c>
      <c r="J802" s="19" t="n">
        <f aca="false">I802*E802</f>
        <v>3432</v>
      </c>
      <c r="K802" s="16" t="n">
        <f aca="false">IF(D802=0,0,I802/D802)</f>
        <v>0.89375</v>
      </c>
      <c r="L802" s="16" t="n">
        <f aca="false">IF(J802=0,0,F802/J802)</f>
        <v>0.819055944055944</v>
      </c>
      <c r="M802" s="16" t="n">
        <f aca="false">IF(F802=0,0,G802/F802)</f>
        <v>0.970828886517254</v>
      </c>
      <c r="N802" s="16" t="n">
        <f aca="false">K802*L802*M802</f>
        <v>0.710677083333333</v>
      </c>
      <c r="O802" s="19" t="n">
        <f aca="false">MONTH(A802)</f>
        <v>9</v>
      </c>
      <c r="P802" s="19" t="n">
        <f aca="false">INT((A802-DATE(2026,7,1))/7)+1</f>
        <v>13</v>
      </c>
    </row>
    <row r="803" customFormat="false" ht="15" hidden="false" customHeight="false" outlineLevel="0" collapsed="false">
      <c r="A803" s="25" t="n">
        <v>46293</v>
      </c>
      <c r="B803" s="26" t="s">
        <v>16</v>
      </c>
      <c r="C803" s="26" t="s">
        <v>72</v>
      </c>
      <c r="D803" s="26" t="n">
        <v>480</v>
      </c>
      <c r="E803" s="26" t="n">
        <v>12</v>
      </c>
      <c r="F803" s="26" t="n">
        <v>4754</v>
      </c>
      <c r="G803" s="26" t="n">
        <v>4692</v>
      </c>
      <c r="H803" s="19" t="n">
        <f aca="false">SUMIFS(Paradas!$E$2:$E$1973,Paradas!$A$2:$A$1973,A803,Paradas!$B$2:$B$1973,B803,Paradas!$C$2:$C$1973,C803)</f>
        <v>37</v>
      </c>
      <c r="I803" s="19" t="n">
        <f aca="false">D803-H803</f>
        <v>443</v>
      </c>
      <c r="J803" s="19" t="n">
        <f aca="false">I803*E803</f>
        <v>5316</v>
      </c>
      <c r="K803" s="16" t="n">
        <f aca="false">IF(D803=0,0,I803/D803)</f>
        <v>0.922916666666667</v>
      </c>
      <c r="L803" s="16" t="n">
        <f aca="false">IF(J803=0,0,F803/J803)</f>
        <v>0.894281414597442</v>
      </c>
      <c r="M803" s="16" t="n">
        <f aca="false">IF(F803=0,0,G803/F803)</f>
        <v>0.986958350862432</v>
      </c>
      <c r="N803" s="16" t="n">
        <f aca="false">K803*L803*M803</f>
        <v>0.814583333333333</v>
      </c>
      <c r="O803" s="19" t="n">
        <f aca="false">MONTH(A803)</f>
        <v>9</v>
      </c>
      <c r="P803" s="19" t="n">
        <f aca="false">INT((A803-DATE(2026,7,1))/7)+1</f>
        <v>13</v>
      </c>
    </row>
    <row r="804" customFormat="false" ht="15" hidden="false" customHeight="false" outlineLevel="0" collapsed="false">
      <c r="A804" s="25" t="n">
        <v>46293</v>
      </c>
      <c r="B804" s="26" t="s">
        <v>16</v>
      </c>
      <c r="C804" s="26" t="s">
        <v>73</v>
      </c>
      <c r="D804" s="26" t="n">
        <v>480</v>
      </c>
      <c r="E804" s="26" t="n">
        <v>12</v>
      </c>
      <c r="F804" s="26" t="n">
        <v>5062</v>
      </c>
      <c r="G804" s="26" t="n">
        <v>4940</v>
      </c>
      <c r="H804" s="19" t="n">
        <f aca="false">SUMIFS(Paradas!$E$2:$E$1973,Paradas!$A$2:$A$1973,A804,Paradas!$B$2:$B$1973,B804,Paradas!$C$2:$C$1973,C804)</f>
        <v>0</v>
      </c>
      <c r="I804" s="19" t="n">
        <f aca="false">D804-H804</f>
        <v>480</v>
      </c>
      <c r="J804" s="19" t="n">
        <f aca="false">I804*E804</f>
        <v>5760</v>
      </c>
      <c r="K804" s="16" t="n">
        <f aca="false">IF(D804=0,0,I804/D804)</f>
        <v>1</v>
      </c>
      <c r="L804" s="16" t="n">
        <f aca="false">IF(J804=0,0,F804/J804)</f>
        <v>0.878819444444445</v>
      </c>
      <c r="M804" s="16" t="n">
        <f aca="false">IF(F804=0,0,G804/F804)</f>
        <v>0.975898854207823</v>
      </c>
      <c r="N804" s="16" t="n">
        <f aca="false">K804*L804*M804</f>
        <v>0.857638888888889</v>
      </c>
      <c r="O804" s="19" t="n">
        <f aca="false">MONTH(A804)</f>
        <v>9</v>
      </c>
      <c r="P804" s="19" t="n">
        <f aca="false">INT((A804-DATE(2026,7,1))/7)+1</f>
        <v>13</v>
      </c>
    </row>
    <row r="805" customFormat="false" ht="15" hidden="false" customHeight="false" outlineLevel="0" collapsed="false">
      <c r="A805" s="25" t="n">
        <v>46293</v>
      </c>
      <c r="B805" s="26" t="s">
        <v>16</v>
      </c>
      <c r="C805" s="26" t="s">
        <v>74</v>
      </c>
      <c r="D805" s="26" t="n">
        <v>480</v>
      </c>
      <c r="E805" s="26" t="n">
        <v>12</v>
      </c>
      <c r="F805" s="26" t="n">
        <v>4615</v>
      </c>
      <c r="G805" s="26" t="n">
        <v>4527</v>
      </c>
      <c r="H805" s="19" t="n">
        <f aca="false">SUMIFS(Paradas!$E$2:$E$1973,Paradas!$A$2:$A$1973,A805,Paradas!$B$2:$B$1973,B805,Paradas!$C$2:$C$1973,C805)</f>
        <v>0</v>
      </c>
      <c r="I805" s="19" t="n">
        <f aca="false">D805-H805</f>
        <v>480</v>
      </c>
      <c r="J805" s="19" t="n">
        <f aca="false">I805*E805</f>
        <v>5760</v>
      </c>
      <c r="K805" s="16" t="n">
        <f aca="false">IF(D805=0,0,I805/D805)</f>
        <v>1</v>
      </c>
      <c r="L805" s="16" t="n">
        <f aca="false">IF(J805=0,0,F805/J805)</f>
        <v>0.801215277777778</v>
      </c>
      <c r="M805" s="16" t="n">
        <f aca="false">IF(F805=0,0,G805/F805)</f>
        <v>0.980931744312026</v>
      </c>
      <c r="N805" s="16" t="n">
        <f aca="false">K805*L805*M805</f>
        <v>0.7859375</v>
      </c>
      <c r="O805" s="19" t="n">
        <f aca="false">MONTH(A805)</f>
        <v>9</v>
      </c>
      <c r="P805" s="19" t="n">
        <f aca="false">INT((A805-DATE(2026,7,1))/7)+1</f>
        <v>13</v>
      </c>
    </row>
    <row r="806" customFormat="false" ht="15" hidden="false" customHeight="false" outlineLevel="0" collapsed="false">
      <c r="A806" s="25" t="n">
        <v>46293</v>
      </c>
      <c r="B806" s="26" t="s">
        <v>17</v>
      </c>
      <c r="C806" s="26" t="s">
        <v>72</v>
      </c>
      <c r="D806" s="26" t="n">
        <v>480</v>
      </c>
      <c r="E806" s="26" t="n">
        <v>10</v>
      </c>
      <c r="F806" s="26" t="n">
        <v>3086</v>
      </c>
      <c r="G806" s="26" t="n">
        <v>2909</v>
      </c>
      <c r="H806" s="19" t="n">
        <f aca="false">SUMIFS(Paradas!$E$2:$E$1973,Paradas!$A$2:$A$1973,A806,Paradas!$B$2:$B$1973,B806,Paradas!$C$2:$C$1973,C806)</f>
        <v>136</v>
      </c>
      <c r="I806" s="19" t="n">
        <f aca="false">D806-H806</f>
        <v>344</v>
      </c>
      <c r="J806" s="19" t="n">
        <f aca="false">I806*E806</f>
        <v>3440</v>
      </c>
      <c r="K806" s="16" t="n">
        <f aca="false">IF(D806=0,0,I806/D806)</f>
        <v>0.716666666666667</v>
      </c>
      <c r="L806" s="16" t="n">
        <f aca="false">IF(J806=0,0,F806/J806)</f>
        <v>0.897093023255814</v>
      </c>
      <c r="M806" s="16" t="n">
        <f aca="false">IF(F806=0,0,G806/F806)</f>
        <v>0.942644199611147</v>
      </c>
      <c r="N806" s="16" t="n">
        <f aca="false">K806*L806*M806</f>
        <v>0.606041666666667</v>
      </c>
      <c r="O806" s="19" t="n">
        <f aca="false">MONTH(A806)</f>
        <v>9</v>
      </c>
      <c r="P806" s="19" t="n">
        <f aca="false">INT((A806-DATE(2026,7,1))/7)+1</f>
        <v>13</v>
      </c>
    </row>
    <row r="807" customFormat="false" ht="15" hidden="false" customHeight="false" outlineLevel="0" collapsed="false">
      <c r="A807" s="25" t="n">
        <v>46293</v>
      </c>
      <c r="B807" s="26" t="s">
        <v>17</v>
      </c>
      <c r="C807" s="26" t="s">
        <v>73</v>
      </c>
      <c r="D807" s="26" t="n">
        <v>480</v>
      </c>
      <c r="E807" s="26" t="n">
        <v>10</v>
      </c>
      <c r="F807" s="26" t="n">
        <v>3275</v>
      </c>
      <c r="G807" s="26" t="n">
        <v>3132</v>
      </c>
      <c r="H807" s="19" t="n">
        <f aca="false">SUMIFS(Paradas!$E$2:$E$1973,Paradas!$A$2:$A$1973,A807,Paradas!$B$2:$B$1973,B807,Paradas!$C$2:$C$1973,C807)</f>
        <v>132</v>
      </c>
      <c r="I807" s="19" t="n">
        <f aca="false">D807-H807</f>
        <v>348</v>
      </c>
      <c r="J807" s="19" t="n">
        <f aca="false">I807*E807</f>
        <v>3480</v>
      </c>
      <c r="K807" s="16" t="n">
        <f aca="false">IF(D807=0,0,I807/D807)</f>
        <v>0.725</v>
      </c>
      <c r="L807" s="16" t="n">
        <f aca="false">IF(J807=0,0,F807/J807)</f>
        <v>0.941091954022989</v>
      </c>
      <c r="M807" s="16" t="n">
        <f aca="false">IF(F807=0,0,G807/F807)</f>
        <v>0.956335877862595</v>
      </c>
      <c r="N807" s="16" t="n">
        <f aca="false">K807*L807*M807</f>
        <v>0.6525</v>
      </c>
      <c r="O807" s="19" t="n">
        <f aca="false">MONTH(A807)</f>
        <v>9</v>
      </c>
      <c r="P807" s="19" t="n">
        <f aca="false">INT((A807-DATE(2026,7,1))/7)+1</f>
        <v>13</v>
      </c>
    </row>
    <row r="808" customFormat="false" ht="15" hidden="false" customHeight="false" outlineLevel="0" collapsed="false">
      <c r="A808" s="25" t="n">
        <v>46293</v>
      </c>
      <c r="B808" s="26" t="s">
        <v>17</v>
      </c>
      <c r="C808" s="26" t="s">
        <v>74</v>
      </c>
      <c r="D808" s="26" t="n">
        <v>480</v>
      </c>
      <c r="E808" s="26" t="n">
        <v>10</v>
      </c>
      <c r="F808" s="26" t="n">
        <v>2586</v>
      </c>
      <c r="G808" s="26" t="n">
        <v>2515</v>
      </c>
      <c r="H808" s="19" t="n">
        <f aca="false">SUMIFS(Paradas!$E$2:$E$1973,Paradas!$A$2:$A$1973,A808,Paradas!$B$2:$B$1973,B808,Paradas!$C$2:$C$1973,C808)</f>
        <v>187</v>
      </c>
      <c r="I808" s="19" t="n">
        <f aca="false">D808-H808</f>
        <v>293</v>
      </c>
      <c r="J808" s="19" t="n">
        <f aca="false">I808*E808</f>
        <v>2930</v>
      </c>
      <c r="K808" s="16" t="n">
        <f aca="false">IF(D808=0,0,I808/D808)</f>
        <v>0.610416666666667</v>
      </c>
      <c r="L808" s="16" t="n">
        <f aca="false">IF(J808=0,0,F808/J808)</f>
        <v>0.88259385665529</v>
      </c>
      <c r="M808" s="16" t="n">
        <f aca="false">IF(F808=0,0,G808/F808)</f>
        <v>0.972544470224285</v>
      </c>
      <c r="N808" s="16" t="n">
        <f aca="false">K808*L808*M808</f>
        <v>0.523958333333333</v>
      </c>
      <c r="O808" s="19" t="n">
        <f aca="false">MONTH(A808)</f>
        <v>9</v>
      </c>
      <c r="P808" s="19" t="n">
        <f aca="false">INT((A808-DATE(2026,7,1))/7)+1</f>
        <v>13</v>
      </c>
    </row>
    <row r="809" customFormat="false" ht="15" hidden="false" customHeight="false" outlineLevel="0" collapsed="false">
      <c r="A809" s="25" t="n">
        <v>46293</v>
      </c>
      <c r="B809" s="26" t="s">
        <v>18</v>
      </c>
      <c r="C809" s="26" t="s">
        <v>72</v>
      </c>
      <c r="D809" s="26" t="n">
        <v>480</v>
      </c>
      <c r="E809" s="26" t="n">
        <v>8</v>
      </c>
      <c r="F809" s="26" t="n">
        <v>3001</v>
      </c>
      <c r="G809" s="26" t="n">
        <v>2886</v>
      </c>
      <c r="H809" s="19" t="n">
        <f aca="false">SUMIFS(Paradas!$E$2:$E$1973,Paradas!$A$2:$A$1973,A809,Paradas!$B$2:$B$1973,B809,Paradas!$C$2:$C$1973,C809)</f>
        <v>58</v>
      </c>
      <c r="I809" s="19" t="n">
        <f aca="false">D809-H809</f>
        <v>422</v>
      </c>
      <c r="J809" s="19" t="n">
        <f aca="false">I809*E809</f>
        <v>3376</v>
      </c>
      <c r="K809" s="16" t="n">
        <f aca="false">IF(D809=0,0,I809/D809)</f>
        <v>0.879166666666667</v>
      </c>
      <c r="L809" s="16" t="n">
        <f aca="false">IF(J809=0,0,F809/J809)</f>
        <v>0.888921800947867</v>
      </c>
      <c r="M809" s="16" t="n">
        <f aca="false">IF(F809=0,0,G809/F809)</f>
        <v>0.961679440186605</v>
      </c>
      <c r="N809" s="16" t="n">
        <f aca="false">K809*L809*M809</f>
        <v>0.7515625</v>
      </c>
      <c r="O809" s="19" t="n">
        <f aca="false">MONTH(A809)</f>
        <v>9</v>
      </c>
      <c r="P809" s="19" t="n">
        <f aca="false">INT((A809-DATE(2026,7,1))/7)+1</f>
        <v>13</v>
      </c>
    </row>
    <row r="810" customFormat="false" ht="15" hidden="false" customHeight="false" outlineLevel="0" collapsed="false">
      <c r="A810" s="25" t="n">
        <v>46293</v>
      </c>
      <c r="B810" s="26" t="s">
        <v>18</v>
      </c>
      <c r="C810" s="26" t="s">
        <v>73</v>
      </c>
      <c r="D810" s="26" t="n">
        <v>480</v>
      </c>
      <c r="E810" s="26" t="n">
        <v>8</v>
      </c>
      <c r="F810" s="26" t="n">
        <v>2308</v>
      </c>
      <c r="G810" s="26" t="n">
        <v>2244</v>
      </c>
      <c r="H810" s="19" t="n">
        <f aca="false">SUMIFS(Paradas!$E$2:$E$1973,Paradas!$A$2:$A$1973,A810,Paradas!$B$2:$B$1973,B810,Paradas!$C$2:$C$1973,C810)</f>
        <v>161</v>
      </c>
      <c r="I810" s="19" t="n">
        <f aca="false">D810-H810</f>
        <v>319</v>
      </c>
      <c r="J810" s="19" t="n">
        <f aca="false">I810*E810</f>
        <v>2552</v>
      </c>
      <c r="K810" s="16" t="n">
        <f aca="false">IF(D810=0,0,I810/D810)</f>
        <v>0.664583333333333</v>
      </c>
      <c r="L810" s="16" t="n">
        <f aca="false">IF(J810=0,0,F810/J810)</f>
        <v>0.904388714733542</v>
      </c>
      <c r="M810" s="16" t="n">
        <f aca="false">IF(F810=0,0,G810/F810)</f>
        <v>0.972270363951473</v>
      </c>
      <c r="N810" s="16" t="n">
        <f aca="false">K810*L810*M810</f>
        <v>0.584375</v>
      </c>
      <c r="O810" s="19" t="n">
        <f aca="false">MONTH(A810)</f>
        <v>9</v>
      </c>
      <c r="P810" s="19" t="n">
        <f aca="false">INT((A810-DATE(2026,7,1))/7)+1</f>
        <v>13</v>
      </c>
    </row>
    <row r="811" customFormat="false" ht="15" hidden="false" customHeight="false" outlineLevel="0" collapsed="false">
      <c r="A811" s="25" t="n">
        <v>46293</v>
      </c>
      <c r="B811" s="26" t="s">
        <v>18</v>
      </c>
      <c r="C811" s="26" t="s">
        <v>74</v>
      </c>
      <c r="D811" s="26" t="n">
        <v>480</v>
      </c>
      <c r="E811" s="26" t="n">
        <v>8</v>
      </c>
      <c r="F811" s="26" t="n">
        <v>3280</v>
      </c>
      <c r="G811" s="26" t="n">
        <v>3224</v>
      </c>
      <c r="H811" s="19" t="n">
        <f aca="false">SUMIFS(Paradas!$E$2:$E$1973,Paradas!$A$2:$A$1973,A811,Paradas!$B$2:$B$1973,B811,Paradas!$C$2:$C$1973,C811)</f>
        <v>23</v>
      </c>
      <c r="I811" s="19" t="n">
        <f aca="false">D811-H811</f>
        <v>457</v>
      </c>
      <c r="J811" s="19" t="n">
        <f aca="false">I811*E811</f>
        <v>3656</v>
      </c>
      <c r="K811" s="16" t="n">
        <f aca="false">IF(D811=0,0,I811/D811)</f>
        <v>0.952083333333333</v>
      </c>
      <c r="L811" s="16" t="n">
        <f aca="false">IF(J811=0,0,F811/J811)</f>
        <v>0.897155361050328</v>
      </c>
      <c r="M811" s="16" t="n">
        <f aca="false">IF(F811=0,0,G811/F811)</f>
        <v>0.982926829268293</v>
      </c>
      <c r="N811" s="16" t="n">
        <f aca="false">K811*L811*M811</f>
        <v>0.839583333333333</v>
      </c>
      <c r="O811" s="19" t="n">
        <f aca="false">MONTH(A811)</f>
        <v>9</v>
      </c>
      <c r="P811" s="19" t="n">
        <f aca="false">INT((A811-DATE(2026,7,1))/7)+1</f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30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4" t="s">
        <v>62</v>
      </c>
      <c r="B1" s="14" t="s">
        <v>2</v>
      </c>
      <c r="C1" s="14" t="s">
        <v>63</v>
      </c>
      <c r="D1" s="14" t="s">
        <v>20</v>
      </c>
      <c r="E1" s="14" t="s">
        <v>21</v>
      </c>
    </row>
    <row r="2" customFormat="false" ht="15" hidden="false" customHeight="false" outlineLevel="0" collapsed="false">
      <c r="A2" s="25" t="n">
        <v>46204</v>
      </c>
      <c r="B2" s="26" t="s">
        <v>16</v>
      </c>
      <c r="C2" s="26" t="s">
        <v>72</v>
      </c>
      <c r="D2" s="26" t="s">
        <v>27</v>
      </c>
      <c r="E2" s="26" t="n">
        <v>14</v>
      </c>
    </row>
    <row r="3" customFormat="false" ht="15" hidden="false" customHeight="false" outlineLevel="0" collapsed="false">
      <c r="A3" s="25" t="n">
        <v>46204</v>
      </c>
      <c r="B3" s="26" t="s">
        <v>16</v>
      </c>
      <c r="C3" s="26" t="s">
        <v>72</v>
      </c>
      <c r="D3" s="26" t="s">
        <v>26</v>
      </c>
      <c r="E3" s="26" t="n">
        <v>68</v>
      </c>
    </row>
    <row r="4" customFormat="false" ht="15" hidden="false" customHeight="false" outlineLevel="0" collapsed="false">
      <c r="A4" s="25" t="n">
        <v>46204</v>
      </c>
      <c r="B4" s="26" t="s">
        <v>16</v>
      </c>
      <c r="C4" s="26" t="s">
        <v>72</v>
      </c>
      <c r="D4" s="26" t="s">
        <v>30</v>
      </c>
      <c r="E4" s="26" t="n">
        <v>23</v>
      </c>
    </row>
    <row r="5" customFormat="false" ht="15" hidden="false" customHeight="false" outlineLevel="0" collapsed="false">
      <c r="A5" s="25" t="n">
        <v>46204</v>
      </c>
      <c r="B5" s="26" t="s">
        <v>16</v>
      </c>
      <c r="C5" s="26" t="s">
        <v>73</v>
      </c>
      <c r="D5" s="26" t="s">
        <v>28</v>
      </c>
      <c r="E5" s="26" t="n">
        <v>65</v>
      </c>
    </row>
    <row r="6" customFormat="false" ht="15" hidden="false" customHeight="false" outlineLevel="0" collapsed="false">
      <c r="A6" s="25" t="n">
        <v>46204</v>
      </c>
      <c r="B6" s="26" t="s">
        <v>16</v>
      </c>
      <c r="C6" s="26" t="s">
        <v>74</v>
      </c>
      <c r="D6" s="26" t="s">
        <v>26</v>
      </c>
      <c r="E6" s="26" t="n">
        <v>19</v>
      </c>
    </row>
    <row r="7" customFormat="false" ht="15" hidden="false" customHeight="false" outlineLevel="0" collapsed="false">
      <c r="A7" s="25" t="n">
        <v>46204</v>
      </c>
      <c r="B7" s="26" t="s">
        <v>16</v>
      </c>
      <c r="C7" s="26" t="s">
        <v>74</v>
      </c>
      <c r="D7" s="26" t="s">
        <v>26</v>
      </c>
      <c r="E7" s="26" t="n">
        <v>38</v>
      </c>
    </row>
    <row r="8" customFormat="false" ht="15" hidden="false" customHeight="false" outlineLevel="0" collapsed="false">
      <c r="A8" s="25" t="n">
        <v>46204</v>
      </c>
      <c r="B8" s="26" t="s">
        <v>17</v>
      </c>
      <c r="C8" s="26" t="s">
        <v>72</v>
      </c>
      <c r="D8" s="26" t="s">
        <v>26</v>
      </c>
      <c r="E8" s="26" t="n">
        <v>21</v>
      </c>
    </row>
    <row r="9" customFormat="false" ht="15" hidden="false" customHeight="false" outlineLevel="0" collapsed="false">
      <c r="A9" s="25" t="n">
        <v>46204</v>
      </c>
      <c r="B9" s="26" t="s">
        <v>17</v>
      </c>
      <c r="C9" s="26" t="s">
        <v>72</v>
      </c>
      <c r="D9" s="26" t="s">
        <v>28</v>
      </c>
      <c r="E9" s="26" t="n">
        <v>84</v>
      </c>
    </row>
    <row r="10" customFormat="false" ht="15" hidden="false" customHeight="false" outlineLevel="0" collapsed="false">
      <c r="A10" s="25" t="n">
        <v>46204</v>
      </c>
      <c r="B10" s="26" t="s">
        <v>17</v>
      </c>
      <c r="C10" s="26" t="s">
        <v>72</v>
      </c>
      <c r="D10" s="26" t="s">
        <v>26</v>
      </c>
      <c r="E10" s="26" t="n">
        <v>34</v>
      </c>
    </row>
    <row r="11" customFormat="false" ht="15" hidden="false" customHeight="false" outlineLevel="0" collapsed="false">
      <c r="A11" s="25" t="n">
        <v>46204</v>
      </c>
      <c r="B11" s="26" t="s">
        <v>17</v>
      </c>
      <c r="C11" s="26" t="s">
        <v>72</v>
      </c>
      <c r="D11" s="26" t="s">
        <v>29</v>
      </c>
      <c r="E11" s="26" t="n">
        <v>13</v>
      </c>
    </row>
    <row r="12" customFormat="false" ht="15" hidden="false" customHeight="false" outlineLevel="0" collapsed="false">
      <c r="A12" s="25" t="n">
        <v>46204</v>
      </c>
      <c r="B12" s="26" t="s">
        <v>17</v>
      </c>
      <c r="C12" s="26" t="s">
        <v>73</v>
      </c>
      <c r="D12" s="26" t="s">
        <v>27</v>
      </c>
      <c r="E12" s="26" t="n">
        <v>27</v>
      </c>
    </row>
    <row r="13" customFormat="false" ht="15" hidden="false" customHeight="false" outlineLevel="0" collapsed="false">
      <c r="A13" s="25" t="n">
        <v>46204</v>
      </c>
      <c r="B13" s="26" t="s">
        <v>17</v>
      </c>
      <c r="C13" s="26" t="s">
        <v>73</v>
      </c>
      <c r="D13" s="26" t="s">
        <v>30</v>
      </c>
      <c r="E13" s="26" t="n">
        <v>67</v>
      </c>
    </row>
    <row r="14" customFormat="false" ht="15" hidden="false" customHeight="false" outlineLevel="0" collapsed="false">
      <c r="A14" s="25" t="n">
        <v>46204</v>
      </c>
      <c r="B14" s="26" t="s">
        <v>17</v>
      </c>
      <c r="C14" s="26" t="s">
        <v>73</v>
      </c>
      <c r="D14" s="26" t="s">
        <v>28</v>
      </c>
      <c r="E14" s="26" t="n">
        <v>17</v>
      </c>
    </row>
    <row r="15" customFormat="false" ht="15" hidden="false" customHeight="false" outlineLevel="0" collapsed="false">
      <c r="A15" s="25" t="n">
        <v>46204</v>
      </c>
      <c r="B15" s="26" t="s">
        <v>17</v>
      </c>
      <c r="C15" s="26" t="s">
        <v>73</v>
      </c>
      <c r="D15" s="26" t="s">
        <v>26</v>
      </c>
      <c r="E15" s="26" t="n">
        <v>47</v>
      </c>
    </row>
    <row r="16" customFormat="false" ht="15" hidden="false" customHeight="false" outlineLevel="0" collapsed="false">
      <c r="A16" s="25" t="n">
        <v>46204</v>
      </c>
      <c r="B16" s="26" t="s">
        <v>17</v>
      </c>
      <c r="C16" s="26" t="s">
        <v>74</v>
      </c>
      <c r="D16" s="26" t="s">
        <v>27</v>
      </c>
      <c r="E16" s="26" t="n">
        <v>18</v>
      </c>
    </row>
    <row r="17" customFormat="false" ht="15" hidden="false" customHeight="false" outlineLevel="0" collapsed="false">
      <c r="A17" s="25" t="n">
        <v>46204</v>
      </c>
      <c r="B17" s="26" t="s">
        <v>17</v>
      </c>
      <c r="C17" s="26" t="s">
        <v>74</v>
      </c>
      <c r="D17" s="26" t="s">
        <v>27</v>
      </c>
      <c r="E17" s="26" t="n">
        <v>43</v>
      </c>
    </row>
    <row r="18" customFormat="false" ht="15" hidden="false" customHeight="false" outlineLevel="0" collapsed="false">
      <c r="A18" s="25" t="n">
        <v>46204</v>
      </c>
      <c r="B18" s="26" t="s">
        <v>17</v>
      </c>
      <c r="C18" s="26" t="s">
        <v>74</v>
      </c>
      <c r="D18" s="26" t="s">
        <v>32</v>
      </c>
      <c r="E18" s="26" t="n">
        <v>6</v>
      </c>
    </row>
    <row r="19" customFormat="false" ht="15" hidden="false" customHeight="false" outlineLevel="0" collapsed="false">
      <c r="A19" s="25" t="n">
        <v>46204</v>
      </c>
      <c r="B19" s="26" t="s">
        <v>17</v>
      </c>
      <c r="C19" s="26" t="s">
        <v>74</v>
      </c>
      <c r="D19" s="26" t="s">
        <v>28</v>
      </c>
      <c r="E19" s="26" t="n">
        <v>63</v>
      </c>
    </row>
    <row r="20" customFormat="false" ht="15" hidden="false" customHeight="false" outlineLevel="0" collapsed="false">
      <c r="A20" s="25" t="n">
        <v>46204</v>
      </c>
      <c r="B20" s="26" t="s">
        <v>17</v>
      </c>
      <c r="C20" s="26" t="s">
        <v>74</v>
      </c>
      <c r="D20" s="26" t="s">
        <v>30</v>
      </c>
      <c r="E20" s="26" t="n">
        <v>25</v>
      </c>
    </row>
    <row r="21" customFormat="false" ht="15" hidden="false" customHeight="false" outlineLevel="0" collapsed="false">
      <c r="A21" s="25" t="n">
        <v>46204</v>
      </c>
      <c r="B21" s="26" t="s">
        <v>18</v>
      </c>
      <c r="C21" s="26" t="s">
        <v>72</v>
      </c>
      <c r="D21" s="26" t="s">
        <v>26</v>
      </c>
      <c r="E21" s="26" t="n">
        <v>28</v>
      </c>
    </row>
    <row r="22" customFormat="false" ht="15" hidden="false" customHeight="false" outlineLevel="0" collapsed="false">
      <c r="A22" s="25" t="n">
        <v>46204</v>
      </c>
      <c r="B22" s="26" t="s">
        <v>18</v>
      </c>
      <c r="C22" s="26" t="s">
        <v>73</v>
      </c>
      <c r="D22" s="26" t="s">
        <v>26</v>
      </c>
      <c r="E22" s="26" t="n">
        <v>49</v>
      </c>
    </row>
    <row r="23" customFormat="false" ht="15" hidden="false" customHeight="false" outlineLevel="0" collapsed="false">
      <c r="A23" s="25" t="n">
        <v>46204</v>
      </c>
      <c r="B23" s="26" t="s">
        <v>18</v>
      </c>
      <c r="C23" s="26" t="s">
        <v>73</v>
      </c>
      <c r="D23" s="26" t="s">
        <v>31</v>
      </c>
      <c r="E23" s="26" t="n">
        <v>55</v>
      </c>
    </row>
    <row r="24" customFormat="false" ht="15" hidden="false" customHeight="false" outlineLevel="0" collapsed="false">
      <c r="A24" s="25" t="n">
        <v>46204</v>
      </c>
      <c r="B24" s="26" t="s">
        <v>18</v>
      </c>
      <c r="C24" s="26" t="s">
        <v>73</v>
      </c>
      <c r="D24" s="26" t="s">
        <v>28</v>
      </c>
      <c r="E24" s="26" t="n">
        <v>84</v>
      </c>
    </row>
    <row r="25" customFormat="false" ht="15" hidden="false" customHeight="false" outlineLevel="0" collapsed="false">
      <c r="A25" s="25" t="n">
        <v>46204</v>
      </c>
      <c r="B25" s="26" t="s">
        <v>18</v>
      </c>
      <c r="C25" s="26" t="s">
        <v>74</v>
      </c>
      <c r="D25" s="26" t="s">
        <v>27</v>
      </c>
      <c r="E25" s="26" t="n">
        <v>28</v>
      </c>
    </row>
    <row r="26" customFormat="false" ht="15" hidden="false" customHeight="false" outlineLevel="0" collapsed="false">
      <c r="A26" s="25" t="n">
        <v>46204</v>
      </c>
      <c r="B26" s="26" t="s">
        <v>18</v>
      </c>
      <c r="C26" s="26" t="s">
        <v>74</v>
      </c>
      <c r="D26" s="26" t="s">
        <v>31</v>
      </c>
      <c r="E26" s="26" t="n">
        <v>35</v>
      </c>
    </row>
    <row r="27" customFormat="false" ht="15" hidden="false" customHeight="false" outlineLevel="0" collapsed="false">
      <c r="A27" s="25" t="n">
        <v>46205</v>
      </c>
      <c r="B27" s="26" t="s">
        <v>16</v>
      </c>
      <c r="C27" s="26" t="s">
        <v>72</v>
      </c>
      <c r="D27" s="26" t="s">
        <v>26</v>
      </c>
      <c r="E27" s="26" t="n">
        <v>21</v>
      </c>
    </row>
    <row r="28" customFormat="false" ht="15" hidden="false" customHeight="false" outlineLevel="0" collapsed="false">
      <c r="A28" s="25" t="n">
        <v>46205</v>
      </c>
      <c r="B28" s="26" t="s">
        <v>16</v>
      </c>
      <c r="C28" s="26" t="s">
        <v>72</v>
      </c>
      <c r="D28" s="26" t="s">
        <v>26</v>
      </c>
      <c r="E28" s="26" t="n">
        <v>36</v>
      </c>
    </row>
    <row r="29" customFormat="false" ht="15" hidden="false" customHeight="false" outlineLevel="0" collapsed="false">
      <c r="A29" s="25" t="n">
        <v>46205</v>
      </c>
      <c r="B29" s="26" t="s">
        <v>16</v>
      </c>
      <c r="C29" s="26" t="s">
        <v>72</v>
      </c>
      <c r="D29" s="26" t="s">
        <v>30</v>
      </c>
      <c r="E29" s="26" t="n">
        <v>33</v>
      </c>
    </row>
    <row r="30" customFormat="false" ht="15" hidden="false" customHeight="false" outlineLevel="0" collapsed="false">
      <c r="A30" s="25" t="n">
        <v>46205</v>
      </c>
      <c r="B30" s="26" t="s">
        <v>16</v>
      </c>
      <c r="C30" s="26" t="s">
        <v>74</v>
      </c>
      <c r="D30" s="26" t="s">
        <v>26</v>
      </c>
      <c r="E30" s="26" t="n">
        <v>12</v>
      </c>
    </row>
    <row r="31" customFormat="false" ht="15" hidden="false" customHeight="false" outlineLevel="0" collapsed="false">
      <c r="A31" s="25" t="n">
        <v>46205</v>
      </c>
      <c r="B31" s="26" t="s">
        <v>16</v>
      </c>
      <c r="C31" s="26" t="s">
        <v>74</v>
      </c>
      <c r="D31" s="26" t="s">
        <v>26</v>
      </c>
      <c r="E31" s="26" t="n">
        <v>15</v>
      </c>
    </row>
    <row r="32" customFormat="false" ht="15" hidden="false" customHeight="false" outlineLevel="0" collapsed="false">
      <c r="A32" s="25" t="n">
        <v>46205</v>
      </c>
      <c r="B32" s="26" t="s">
        <v>17</v>
      </c>
      <c r="C32" s="26" t="s">
        <v>72</v>
      </c>
      <c r="D32" s="26" t="s">
        <v>32</v>
      </c>
      <c r="E32" s="26" t="n">
        <v>12</v>
      </c>
    </row>
    <row r="33" customFormat="false" ht="15" hidden="false" customHeight="false" outlineLevel="0" collapsed="false">
      <c r="A33" s="25" t="n">
        <v>46205</v>
      </c>
      <c r="B33" s="26" t="s">
        <v>17</v>
      </c>
      <c r="C33" s="26" t="s">
        <v>72</v>
      </c>
      <c r="D33" s="26" t="s">
        <v>27</v>
      </c>
      <c r="E33" s="26" t="n">
        <v>23</v>
      </c>
    </row>
    <row r="34" customFormat="false" ht="15" hidden="false" customHeight="false" outlineLevel="0" collapsed="false">
      <c r="A34" s="25" t="n">
        <v>46205</v>
      </c>
      <c r="B34" s="26" t="s">
        <v>17</v>
      </c>
      <c r="C34" s="26" t="s">
        <v>72</v>
      </c>
      <c r="D34" s="26" t="s">
        <v>29</v>
      </c>
      <c r="E34" s="26" t="n">
        <v>31</v>
      </c>
    </row>
    <row r="35" customFormat="false" ht="15" hidden="false" customHeight="false" outlineLevel="0" collapsed="false">
      <c r="A35" s="25" t="n">
        <v>46205</v>
      </c>
      <c r="B35" s="26" t="s">
        <v>17</v>
      </c>
      <c r="C35" s="26" t="s">
        <v>73</v>
      </c>
      <c r="D35" s="26" t="s">
        <v>27</v>
      </c>
      <c r="E35" s="26" t="n">
        <v>23</v>
      </c>
    </row>
    <row r="36" customFormat="false" ht="15" hidden="false" customHeight="false" outlineLevel="0" collapsed="false">
      <c r="A36" s="25" t="n">
        <v>46205</v>
      </c>
      <c r="B36" s="26" t="s">
        <v>17</v>
      </c>
      <c r="C36" s="26" t="s">
        <v>73</v>
      </c>
      <c r="D36" s="26" t="s">
        <v>31</v>
      </c>
      <c r="E36" s="26" t="n">
        <v>45</v>
      </c>
    </row>
    <row r="37" customFormat="false" ht="15" hidden="false" customHeight="false" outlineLevel="0" collapsed="false">
      <c r="A37" s="25" t="n">
        <v>46205</v>
      </c>
      <c r="B37" s="26" t="s">
        <v>17</v>
      </c>
      <c r="C37" s="26" t="s">
        <v>74</v>
      </c>
      <c r="D37" s="26" t="s">
        <v>26</v>
      </c>
      <c r="E37" s="26" t="n">
        <v>80</v>
      </c>
    </row>
    <row r="38" customFormat="false" ht="15" hidden="false" customHeight="false" outlineLevel="0" collapsed="false">
      <c r="A38" s="25" t="n">
        <v>46205</v>
      </c>
      <c r="B38" s="26" t="s">
        <v>17</v>
      </c>
      <c r="C38" s="26" t="s">
        <v>74</v>
      </c>
      <c r="D38" s="26" t="s">
        <v>31</v>
      </c>
      <c r="E38" s="26" t="n">
        <v>33</v>
      </c>
    </row>
    <row r="39" customFormat="false" ht="15" hidden="false" customHeight="false" outlineLevel="0" collapsed="false">
      <c r="A39" s="25" t="n">
        <v>46205</v>
      </c>
      <c r="B39" s="26" t="s">
        <v>17</v>
      </c>
      <c r="C39" s="26" t="s">
        <v>74</v>
      </c>
      <c r="D39" s="26" t="s">
        <v>26</v>
      </c>
      <c r="E39" s="26" t="n">
        <v>24</v>
      </c>
    </row>
    <row r="40" customFormat="false" ht="15" hidden="false" customHeight="false" outlineLevel="0" collapsed="false">
      <c r="A40" s="25" t="n">
        <v>46205</v>
      </c>
      <c r="B40" s="26" t="s">
        <v>17</v>
      </c>
      <c r="C40" s="26" t="s">
        <v>74</v>
      </c>
      <c r="D40" s="26" t="s">
        <v>27</v>
      </c>
      <c r="E40" s="26" t="n">
        <v>10</v>
      </c>
    </row>
    <row r="41" customFormat="false" ht="15" hidden="false" customHeight="false" outlineLevel="0" collapsed="false">
      <c r="A41" s="25" t="n">
        <v>46205</v>
      </c>
      <c r="B41" s="26" t="s">
        <v>17</v>
      </c>
      <c r="C41" s="26" t="s">
        <v>74</v>
      </c>
      <c r="D41" s="26" t="s">
        <v>28</v>
      </c>
      <c r="E41" s="26" t="n">
        <v>26</v>
      </c>
    </row>
    <row r="42" customFormat="false" ht="15" hidden="false" customHeight="false" outlineLevel="0" collapsed="false">
      <c r="A42" s="25" t="n">
        <v>46205</v>
      </c>
      <c r="B42" s="26" t="s">
        <v>18</v>
      </c>
      <c r="C42" s="26" t="s">
        <v>72</v>
      </c>
      <c r="D42" s="26" t="s">
        <v>26</v>
      </c>
      <c r="E42" s="26" t="n">
        <v>27</v>
      </c>
    </row>
    <row r="43" customFormat="false" ht="15" hidden="false" customHeight="false" outlineLevel="0" collapsed="false">
      <c r="A43" s="25" t="n">
        <v>46205</v>
      </c>
      <c r="B43" s="26" t="s">
        <v>18</v>
      </c>
      <c r="C43" s="26" t="s">
        <v>72</v>
      </c>
      <c r="D43" s="26" t="s">
        <v>30</v>
      </c>
      <c r="E43" s="26" t="n">
        <v>19</v>
      </c>
    </row>
    <row r="44" customFormat="false" ht="15" hidden="false" customHeight="false" outlineLevel="0" collapsed="false">
      <c r="A44" s="25" t="n">
        <v>46205</v>
      </c>
      <c r="B44" s="26" t="s">
        <v>18</v>
      </c>
      <c r="C44" s="26" t="s">
        <v>73</v>
      </c>
      <c r="D44" s="26" t="s">
        <v>26</v>
      </c>
      <c r="E44" s="26" t="n">
        <v>32</v>
      </c>
    </row>
    <row r="45" customFormat="false" ht="15" hidden="false" customHeight="false" outlineLevel="0" collapsed="false">
      <c r="A45" s="25" t="n">
        <v>46205</v>
      </c>
      <c r="B45" s="26" t="s">
        <v>18</v>
      </c>
      <c r="C45" s="26" t="s">
        <v>73</v>
      </c>
      <c r="D45" s="26" t="s">
        <v>26</v>
      </c>
      <c r="E45" s="26" t="n">
        <v>63</v>
      </c>
    </row>
    <row r="46" customFormat="false" ht="15" hidden="false" customHeight="false" outlineLevel="0" collapsed="false">
      <c r="A46" s="25" t="n">
        <v>46205</v>
      </c>
      <c r="B46" s="26" t="s">
        <v>18</v>
      </c>
      <c r="C46" s="26" t="s">
        <v>73</v>
      </c>
      <c r="D46" s="26" t="s">
        <v>26</v>
      </c>
      <c r="E46" s="26" t="n">
        <v>42</v>
      </c>
    </row>
    <row r="47" customFormat="false" ht="15" hidden="false" customHeight="false" outlineLevel="0" collapsed="false">
      <c r="A47" s="25" t="n">
        <v>46205</v>
      </c>
      <c r="B47" s="26" t="s">
        <v>18</v>
      </c>
      <c r="C47" s="26" t="s">
        <v>73</v>
      </c>
      <c r="D47" s="26" t="s">
        <v>26</v>
      </c>
      <c r="E47" s="26" t="n">
        <v>18</v>
      </c>
    </row>
    <row r="48" customFormat="false" ht="15" hidden="false" customHeight="false" outlineLevel="0" collapsed="false">
      <c r="A48" s="25" t="n">
        <v>46205</v>
      </c>
      <c r="B48" s="26" t="s">
        <v>18</v>
      </c>
      <c r="C48" s="26" t="s">
        <v>73</v>
      </c>
      <c r="D48" s="26" t="s">
        <v>26</v>
      </c>
      <c r="E48" s="26" t="n">
        <v>57</v>
      </c>
    </row>
    <row r="49" customFormat="false" ht="15" hidden="false" customHeight="false" outlineLevel="0" collapsed="false">
      <c r="A49" s="25" t="n">
        <v>46205</v>
      </c>
      <c r="B49" s="26" t="s">
        <v>18</v>
      </c>
      <c r="C49" s="26" t="s">
        <v>74</v>
      </c>
      <c r="D49" s="26" t="s">
        <v>28</v>
      </c>
      <c r="E49" s="26" t="n">
        <v>57</v>
      </c>
    </row>
    <row r="50" customFormat="false" ht="15" hidden="false" customHeight="false" outlineLevel="0" collapsed="false">
      <c r="A50" s="25" t="n">
        <v>46205</v>
      </c>
      <c r="B50" s="26" t="s">
        <v>18</v>
      </c>
      <c r="C50" s="26" t="s">
        <v>74</v>
      </c>
      <c r="D50" s="26" t="s">
        <v>30</v>
      </c>
      <c r="E50" s="26" t="n">
        <v>64</v>
      </c>
    </row>
    <row r="51" customFormat="false" ht="15" hidden="false" customHeight="false" outlineLevel="0" collapsed="false">
      <c r="A51" s="25" t="n">
        <v>46205</v>
      </c>
      <c r="B51" s="26" t="s">
        <v>18</v>
      </c>
      <c r="C51" s="26" t="s">
        <v>74</v>
      </c>
      <c r="D51" s="26" t="s">
        <v>31</v>
      </c>
      <c r="E51" s="26" t="n">
        <v>32</v>
      </c>
    </row>
    <row r="52" customFormat="false" ht="15" hidden="false" customHeight="false" outlineLevel="0" collapsed="false">
      <c r="A52" s="25" t="n">
        <v>46205</v>
      </c>
      <c r="B52" s="26" t="s">
        <v>18</v>
      </c>
      <c r="C52" s="26" t="s">
        <v>74</v>
      </c>
      <c r="D52" s="26" t="s">
        <v>27</v>
      </c>
      <c r="E52" s="26" t="n">
        <v>41</v>
      </c>
    </row>
    <row r="53" customFormat="false" ht="15" hidden="false" customHeight="false" outlineLevel="0" collapsed="false">
      <c r="A53" s="25" t="n">
        <v>46206</v>
      </c>
      <c r="B53" s="26" t="s">
        <v>16</v>
      </c>
      <c r="C53" s="26" t="s">
        <v>72</v>
      </c>
      <c r="D53" s="26" t="s">
        <v>30</v>
      </c>
      <c r="E53" s="26" t="n">
        <v>30</v>
      </c>
    </row>
    <row r="54" customFormat="false" ht="15" hidden="false" customHeight="false" outlineLevel="0" collapsed="false">
      <c r="A54" s="25" t="n">
        <v>46206</v>
      </c>
      <c r="B54" s="26" t="s">
        <v>16</v>
      </c>
      <c r="C54" s="26" t="s">
        <v>72</v>
      </c>
      <c r="D54" s="26" t="s">
        <v>26</v>
      </c>
      <c r="E54" s="26" t="n">
        <v>16</v>
      </c>
    </row>
    <row r="55" customFormat="false" ht="15" hidden="false" customHeight="false" outlineLevel="0" collapsed="false">
      <c r="A55" s="25" t="n">
        <v>46206</v>
      </c>
      <c r="B55" s="26" t="s">
        <v>16</v>
      </c>
      <c r="C55" s="26" t="s">
        <v>74</v>
      </c>
      <c r="D55" s="26" t="s">
        <v>26</v>
      </c>
      <c r="E55" s="26" t="n">
        <v>42</v>
      </c>
    </row>
    <row r="56" customFormat="false" ht="15" hidden="false" customHeight="false" outlineLevel="0" collapsed="false">
      <c r="A56" s="25" t="n">
        <v>46206</v>
      </c>
      <c r="B56" s="26" t="s">
        <v>16</v>
      </c>
      <c r="C56" s="26" t="s">
        <v>74</v>
      </c>
      <c r="D56" s="26" t="s">
        <v>29</v>
      </c>
      <c r="E56" s="26" t="n">
        <v>50</v>
      </c>
    </row>
    <row r="57" customFormat="false" ht="15" hidden="false" customHeight="false" outlineLevel="0" collapsed="false">
      <c r="A57" s="25" t="n">
        <v>46206</v>
      </c>
      <c r="B57" s="26" t="s">
        <v>16</v>
      </c>
      <c r="C57" s="26" t="s">
        <v>74</v>
      </c>
      <c r="D57" s="26" t="s">
        <v>28</v>
      </c>
      <c r="E57" s="26" t="n">
        <v>74</v>
      </c>
    </row>
    <row r="58" customFormat="false" ht="15" hidden="false" customHeight="false" outlineLevel="0" collapsed="false">
      <c r="A58" s="25" t="n">
        <v>46206</v>
      </c>
      <c r="B58" s="26" t="s">
        <v>16</v>
      </c>
      <c r="C58" s="26" t="s">
        <v>74</v>
      </c>
      <c r="D58" s="26" t="s">
        <v>27</v>
      </c>
      <c r="E58" s="26" t="n">
        <v>25</v>
      </c>
    </row>
    <row r="59" customFormat="false" ht="15" hidden="false" customHeight="false" outlineLevel="0" collapsed="false">
      <c r="A59" s="25" t="n">
        <v>46206</v>
      </c>
      <c r="B59" s="26" t="s">
        <v>16</v>
      </c>
      <c r="C59" s="26" t="s">
        <v>74</v>
      </c>
      <c r="D59" s="26" t="s">
        <v>28</v>
      </c>
      <c r="E59" s="26" t="n">
        <v>29</v>
      </c>
    </row>
    <row r="60" customFormat="false" ht="15" hidden="false" customHeight="false" outlineLevel="0" collapsed="false">
      <c r="A60" s="25" t="n">
        <v>46206</v>
      </c>
      <c r="B60" s="26" t="s">
        <v>17</v>
      </c>
      <c r="C60" s="26" t="s">
        <v>72</v>
      </c>
      <c r="D60" s="26" t="s">
        <v>26</v>
      </c>
      <c r="E60" s="26" t="n">
        <v>25</v>
      </c>
    </row>
    <row r="61" customFormat="false" ht="15" hidden="false" customHeight="false" outlineLevel="0" collapsed="false">
      <c r="A61" s="25" t="n">
        <v>46206</v>
      </c>
      <c r="B61" s="26" t="s">
        <v>17</v>
      </c>
      <c r="C61" s="26" t="s">
        <v>72</v>
      </c>
      <c r="D61" s="26" t="s">
        <v>26</v>
      </c>
      <c r="E61" s="26" t="n">
        <v>7</v>
      </c>
    </row>
    <row r="62" customFormat="false" ht="15" hidden="false" customHeight="false" outlineLevel="0" collapsed="false">
      <c r="A62" s="25" t="n">
        <v>46206</v>
      </c>
      <c r="B62" s="26" t="s">
        <v>17</v>
      </c>
      <c r="C62" s="26" t="s">
        <v>72</v>
      </c>
      <c r="D62" s="26" t="s">
        <v>27</v>
      </c>
      <c r="E62" s="26" t="n">
        <v>56</v>
      </c>
    </row>
    <row r="63" customFormat="false" ht="15" hidden="false" customHeight="false" outlineLevel="0" collapsed="false">
      <c r="A63" s="25" t="n">
        <v>46206</v>
      </c>
      <c r="B63" s="26" t="s">
        <v>17</v>
      </c>
      <c r="C63" s="26" t="s">
        <v>73</v>
      </c>
      <c r="D63" s="26" t="s">
        <v>29</v>
      </c>
      <c r="E63" s="26" t="n">
        <v>18</v>
      </c>
    </row>
    <row r="64" customFormat="false" ht="15" hidden="false" customHeight="false" outlineLevel="0" collapsed="false">
      <c r="A64" s="25" t="n">
        <v>46206</v>
      </c>
      <c r="B64" s="26" t="s">
        <v>17</v>
      </c>
      <c r="C64" s="26" t="s">
        <v>74</v>
      </c>
      <c r="D64" s="26" t="s">
        <v>26</v>
      </c>
      <c r="E64" s="26" t="n">
        <v>45</v>
      </c>
    </row>
    <row r="65" customFormat="false" ht="15" hidden="false" customHeight="false" outlineLevel="0" collapsed="false">
      <c r="A65" s="25" t="n">
        <v>46206</v>
      </c>
      <c r="B65" s="26" t="s">
        <v>17</v>
      </c>
      <c r="C65" s="26" t="s">
        <v>74</v>
      </c>
      <c r="D65" s="26" t="s">
        <v>28</v>
      </c>
      <c r="E65" s="26" t="n">
        <v>86</v>
      </c>
    </row>
    <row r="66" customFormat="false" ht="15" hidden="false" customHeight="false" outlineLevel="0" collapsed="false">
      <c r="A66" s="25" t="n">
        <v>46206</v>
      </c>
      <c r="B66" s="26" t="s">
        <v>18</v>
      </c>
      <c r="C66" s="26" t="s">
        <v>72</v>
      </c>
      <c r="D66" s="26" t="s">
        <v>29</v>
      </c>
      <c r="E66" s="26" t="n">
        <v>14</v>
      </c>
    </row>
    <row r="67" customFormat="false" ht="15" hidden="false" customHeight="false" outlineLevel="0" collapsed="false">
      <c r="A67" s="25" t="n">
        <v>46206</v>
      </c>
      <c r="B67" s="26" t="s">
        <v>18</v>
      </c>
      <c r="C67" s="26" t="s">
        <v>72</v>
      </c>
      <c r="D67" s="26" t="s">
        <v>30</v>
      </c>
      <c r="E67" s="26" t="n">
        <v>35</v>
      </c>
    </row>
    <row r="68" customFormat="false" ht="15" hidden="false" customHeight="false" outlineLevel="0" collapsed="false">
      <c r="A68" s="25" t="n">
        <v>46206</v>
      </c>
      <c r="B68" s="26" t="s">
        <v>18</v>
      </c>
      <c r="C68" s="26" t="s">
        <v>73</v>
      </c>
      <c r="D68" s="26" t="s">
        <v>27</v>
      </c>
      <c r="E68" s="26" t="n">
        <v>22</v>
      </c>
    </row>
    <row r="69" customFormat="false" ht="15" hidden="false" customHeight="false" outlineLevel="0" collapsed="false">
      <c r="A69" s="25" t="n">
        <v>46206</v>
      </c>
      <c r="B69" s="26" t="s">
        <v>18</v>
      </c>
      <c r="C69" s="26" t="s">
        <v>73</v>
      </c>
      <c r="D69" s="26" t="s">
        <v>29</v>
      </c>
      <c r="E69" s="26" t="n">
        <v>21</v>
      </c>
    </row>
    <row r="70" customFormat="false" ht="15" hidden="false" customHeight="false" outlineLevel="0" collapsed="false">
      <c r="A70" s="25" t="n">
        <v>46206</v>
      </c>
      <c r="B70" s="26" t="s">
        <v>18</v>
      </c>
      <c r="C70" s="26" t="s">
        <v>74</v>
      </c>
      <c r="D70" s="26" t="s">
        <v>29</v>
      </c>
      <c r="E70" s="26" t="n">
        <v>16</v>
      </c>
    </row>
    <row r="71" customFormat="false" ht="15" hidden="false" customHeight="false" outlineLevel="0" collapsed="false">
      <c r="A71" s="25" t="n">
        <v>46206</v>
      </c>
      <c r="B71" s="26" t="s">
        <v>18</v>
      </c>
      <c r="C71" s="26" t="s">
        <v>74</v>
      </c>
      <c r="D71" s="26" t="s">
        <v>30</v>
      </c>
      <c r="E71" s="26" t="n">
        <v>31</v>
      </c>
    </row>
    <row r="72" customFormat="false" ht="15" hidden="false" customHeight="false" outlineLevel="0" collapsed="false">
      <c r="A72" s="25" t="n">
        <v>46206</v>
      </c>
      <c r="B72" s="26" t="s">
        <v>18</v>
      </c>
      <c r="C72" s="26" t="s">
        <v>74</v>
      </c>
      <c r="D72" s="26" t="s">
        <v>29</v>
      </c>
      <c r="E72" s="26" t="n">
        <v>24</v>
      </c>
    </row>
    <row r="73" customFormat="false" ht="15" hidden="false" customHeight="false" outlineLevel="0" collapsed="false">
      <c r="A73" s="25" t="n">
        <v>46206</v>
      </c>
      <c r="B73" s="26" t="s">
        <v>18</v>
      </c>
      <c r="C73" s="26" t="s">
        <v>74</v>
      </c>
      <c r="D73" s="26" t="s">
        <v>27</v>
      </c>
      <c r="E73" s="26" t="n">
        <v>18</v>
      </c>
    </row>
    <row r="74" customFormat="false" ht="15" hidden="false" customHeight="false" outlineLevel="0" collapsed="false">
      <c r="A74" s="25" t="n">
        <v>46206</v>
      </c>
      <c r="B74" s="26" t="s">
        <v>18</v>
      </c>
      <c r="C74" s="26" t="s">
        <v>74</v>
      </c>
      <c r="D74" s="26" t="s">
        <v>26</v>
      </c>
      <c r="E74" s="26" t="n">
        <v>78</v>
      </c>
    </row>
    <row r="75" customFormat="false" ht="15" hidden="false" customHeight="false" outlineLevel="0" collapsed="false">
      <c r="A75" s="25" t="n">
        <v>46206</v>
      </c>
      <c r="B75" s="26" t="s">
        <v>18</v>
      </c>
      <c r="C75" s="26" t="s">
        <v>74</v>
      </c>
      <c r="D75" s="26" t="s">
        <v>28</v>
      </c>
      <c r="E75" s="26" t="n">
        <v>42</v>
      </c>
    </row>
    <row r="76" customFormat="false" ht="15" hidden="false" customHeight="false" outlineLevel="0" collapsed="false">
      <c r="A76" s="25" t="n">
        <v>46207</v>
      </c>
      <c r="B76" s="26" t="s">
        <v>16</v>
      </c>
      <c r="C76" s="26" t="s">
        <v>72</v>
      </c>
      <c r="D76" s="26" t="s">
        <v>30</v>
      </c>
      <c r="E76" s="26" t="n">
        <v>16</v>
      </c>
    </row>
    <row r="77" customFormat="false" ht="15" hidden="false" customHeight="false" outlineLevel="0" collapsed="false">
      <c r="A77" s="25" t="n">
        <v>46207</v>
      </c>
      <c r="B77" s="26" t="s">
        <v>16</v>
      </c>
      <c r="C77" s="26" t="s">
        <v>72</v>
      </c>
      <c r="D77" s="26" t="s">
        <v>26</v>
      </c>
      <c r="E77" s="26" t="n">
        <v>23</v>
      </c>
    </row>
    <row r="78" customFormat="false" ht="15" hidden="false" customHeight="false" outlineLevel="0" collapsed="false">
      <c r="A78" s="25" t="n">
        <v>46207</v>
      </c>
      <c r="B78" s="26" t="s">
        <v>17</v>
      </c>
      <c r="C78" s="26" t="s">
        <v>72</v>
      </c>
      <c r="D78" s="26" t="s">
        <v>29</v>
      </c>
      <c r="E78" s="26" t="n">
        <v>16</v>
      </c>
    </row>
    <row r="79" customFormat="false" ht="15" hidden="false" customHeight="false" outlineLevel="0" collapsed="false">
      <c r="A79" s="25" t="n">
        <v>46207</v>
      </c>
      <c r="B79" s="26" t="s">
        <v>17</v>
      </c>
      <c r="C79" s="26" t="s">
        <v>72</v>
      </c>
      <c r="D79" s="26" t="s">
        <v>27</v>
      </c>
      <c r="E79" s="26" t="n">
        <v>30</v>
      </c>
    </row>
    <row r="80" customFormat="false" ht="15" hidden="false" customHeight="false" outlineLevel="0" collapsed="false">
      <c r="A80" s="25" t="n">
        <v>46207</v>
      </c>
      <c r="B80" s="26" t="s">
        <v>17</v>
      </c>
      <c r="C80" s="26" t="s">
        <v>72</v>
      </c>
      <c r="D80" s="26" t="s">
        <v>26</v>
      </c>
      <c r="E80" s="26" t="n">
        <v>20</v>
      </c>
    </row>
    <row r="81" customFormat="false" ht="15" hidden="false" customHeight="false" outlineLevel="0" collapsed="false">
      <c r="A81" s="25" t="n">
        <v>46207</v>
      </c>
      <c r="B81" s="26" t="s">
        <v>17</v>
      </c>
      <c r="C81" s="26" t="s">
        <v>72</v>
      </c>
      <c r="D81" s="26" t="s">
        <v>28</v>
      </c>
      <c r="E81" s="26" t="n">
        <v>21</v>
      </c>
    </row>
    <row r="82" customFormat="false" ht="15" hidden="false" customHeight="false" outlineLevel="0" collapsed="false">
      <c r="A82" s="25" t="n">
        <v>46207</v>
      </c>
      <c r="B82" s="26" t="s">
        <v>17</v>
      </c>
      <c r="C82" s="26" t="s">
        <v>73</v>
      </c>
      <c r="D82" s="26" t="s">
        <v>26</v>
      </c>
      <c r="E82" s="26" t="n">
        <v>25</v>
      </c>
    </row>
    <row r="83" customFormat="false" ht="15" hidden="false" customHeight="false" outlineLevel="0" collapsed="false">
      <c r="A83" s="25" t="n">
        <v>46207</v>
      </c>
      <c r="B83" s="26" t="s">
        <v>17</v>
      </c>
      <c r="C83" s="26" t="s">
        <v>73</v>
      </c>
      <c r="D83" s="26" t="s">
        <v>27</v>
      </c>
      <c r="E83" s="26" t="n">
        <v>61</v>
      </c>
    </row>
    <row r="84" customFormat="false" ht="15" hidden="false" customHeight="false" outlineLevel="0" collapsed="false">
      <c r="A84" s="25" t="n">
        <v>46207</v>
      </c>
      <c r="B84" s="26" t="s">
        <v>17</v>
      </c>
      <c r="C84" s="26" t="s">
        <v>73</v>
      </c>
      <c r="D84" s="26" t="s">
        <v>26</v>
      </c>
      <c r="E84" s="26" t="n">
        <v>22</v>
      </c>
    </row>
    <row r="85" customFormat="false" ht="15" hidden="false" customHeight="false" outlineLevel="0" collapsed="false">
      <c r="A85" s="25" t="n">
        <v>46207</v>
      </c>
      <c r="B85" s="26" t="s">
        <v>17</v>
      </c>
      <c r="C85" s="26" t="s">
        <v>73</v>
      </c>
      <c r="D85" s="26" t="s">
        <v>27</v>
      </c>
      <c r="E85" s="26" t="n">
        <v>18</v>
      </c>
    </row>
    <row r="86" customFormat="false" ht="15" hidden="false" customHeight="false" outlineLevel="0" collapsed="false">
      <c r="A86" s="25" t="n">
        <v>46207</v>
      </c>
      <c r="B86" s="26" t="s">
        <v>17</v>
      </c>
      <c r="C86" s="26" t="s">
        <v>74</v>
      </c>
      <c r="D86" s="26" t="s">
        <v>27</v>
      </c>
      <c r="E86" s="26" t="n">
        <v>24</v>
      </c>
    </row>
    <row r="87" customFormat="false" ht="15" hidden="false" customHeight="false" outlineLevel="0" collapsed="false">
      <c r="A87" s="25" t="n">
        <v>46207</v>
      </c>
      <c r="B87" s="26" t="s">
        <v>17</v>
      </c>
      <c r="C87" s="26" t="s">
        <v>74</v>
      </c>
      <c r="D87" s="26" t="s">
        <v>29</v>
      </c>
      <c r="E87" s="26" t="n">
        <v>46</v>
      </c>
    </row>
    <row r="88" customFormat="false" ht="15" hidden="false" customHeight="false" outlineLevel="0" collapsed="false">
      <c r="A88" s="25" t="n">
        <v>46207</v>
      </c>
      <c r="B88" s="26" t="s">
        <v>17</v>
      </c>
      <c r="C88" s="26" t="s">
        <v>74</v>
      </c>
      <c r="D88" s="26" t="s">
        <v>26</v>
      </c>
      <c r="E88" s="26" t="n">
        <v>36</v>
      </c>
    </row>
    <row r="89" customFormat="false" ht="15" hidden="false" customHeight="false" outlineLevel="0" collapsed="false">
      <c r="A89" s="25" t="n">
        <v>46207</v>
      </c>
      <c r="B89" s="26" t="s">
        <v>18</v>
      </c>
      <c r="C89" s="26" t="s">
        <v>72</v>
      </c>
      <c r="D89" s="26" t="s">
        <v>28</v>
      </c>
      <c r="E89" s="26" t="n">
        <v>12</v>
      </c>
    </row>
    <row r="90" customFormat="false" ht="15" hidden="false" customHeight="false" outlineLevel="0" collapsed="false">
      <c r="A90" s="25" t="n">
        <v>46207</v>
      </c>
      <c r="B90" s="26" t="s">
        <v>18</v>
      </c>
      <c r="C90" s="26" t="s">
        <v>72</v>
      </c>
      <c r="D90" s="26" t="s">
        <v>31</v>
      </c>
      <c r="E90" s="26" t="n">
        <v>37</v>
      </c>
    </row>
    <row r="91" customFormat="false" ht="15" hidden="false" customHeight="false" outlineLevel="0" collapsed="false">
      <c r="A91" s="25" t="n">
        <v>46207</v>
      </c>
      <c r="B91" s="26" t="s">
        <v>18</v>
      </c>
      <c r="C91" s="26" t="s">
        <v>72</v>
      </c>
      <c r="D91" s="26" t="s">
        <v>27</v>
      </c>
      <c r="E91" s="26" t="n">
        <v>97</v>
      </c>
    </row>
    <row r="92" customFormat="false" ht="15" hidden="false" customHeight="false" outlineLevel="0" collapsed="false">
      <c r="A92" s="25" t="n">
        <v>46207</v>
      </c>
      <c r="B92" s="26" t="s">
        <v>18</v>
      </c>
      <c r="C92" s="26" t="s">
        <v>73</v>
      </c>
      <c r="D92" s="26" t="s">
        <v>29</v>
      </c>
      <c r="E92" s="26" t="n">
        <v>14</v>
      </c>
    </row>
    <row r="93" customFormat="false" ht="15" hidden="false" customHeight="false" outlineLevel="0" collapsed="false">
      <c r="A93" s="25" t="n">
        <v>46207</v>
      </c>
      <c r="B93" s="26" t="s">
        <v>18</v>
      </c>
      <c r="C93" s="26" t="s">
        <v>73</v>
      </c>
      <c r="D93" s="26" t="s">
        <v>26</v>
      </c>
      <c r="E93" s="26" t="n">
        <v>33</v>
      </c>
    </row>
    <row r="94" customFormat="false" ht="15" hidden="false" customHeight="false" outlineLevel="0" collapsed="false">
      <c r="A94" s="25" t="n">
        <v>46207</v>
      </c>
      <c r="B94" s="26" t="s">
        <v>18</v>
      </c>
      <c r="C94" s="26" t="s">
        <v>73</v>
      </c>
      <c r="D94" s="26" t="s">
        <v>26</v>
      </c>
      <c r="E94" s="26" t="n">
        <v>30</v>
      </c>
    </row>
    <row r="95" customFormat="false" ht="15" hidden="false" customHeight="false" outlineLevel="0" collapsed="false">
      <c r="A95" s="25" t="n">
        <v>46207</v>
      </c>
      <c r="B95" s="26" t="s">
        <v>18</v>
      </c>
      <c r="C95" s="26" t="s">
        <v>73</v>
      </c>
      <c r="D95" s="26" t="s">
        <v>28</v>
      </c>
      <c r="E95" s="26" t="n">
        <v>15</v>
      </c>
    </row>
    <row r="96" customFormat="false" ht="15" hidden="false" customHeight="false" outlineLevel="0" collapsed="false">
      <c r="A96" s="25" t="n">
        <v>46207</v>
      </c>
      <c r="B96" s="26" t="s">
        <v>18</v>
      </c>
      <c r="C96" s="26" t="s">
        <v>73</v>
      </c>
      <c r="D96" s="26" t="s">
        <v>32</v>
      </c>
      <c r="E96" s="26" t="n">
        <v>11</v>
      </c>
    </row>
    <row r="97" customFormat="false" ht="15" hidden="false" customHeight="false" outlineLevel="0" collapsed="false">
      <c r="A97" s="25" t="n">
        <v>46207</v>
      </c>
      <c r="B97" s="26" t="s">
        <v>18</v>
      </c>
      <c r="C97" s="26" t="s">
        <v>73</v>
      </c>
      <c r="D97" s="26" t="s">
        <v>28</v>
      </c>
      <c r="E97" s="26" t="n">
        <v>81</v>
      </c>
    </row>
    <row r="98" customFormat="false" ht="15" hidden="false" customHeight="false" outlineLevel="0" collapsed="false">
      <c r="A98" s="25" t="n">
        <v>46207</v>
      </c>
      <c r="B98" s="26" t="s">
        <v>18</v>
      </c>
      <c r="C98" s="26" t="s">
        <v>73</v>
      </c>
      <c r="D98" s="26" t="s">
        <v>32</v>
      </c>
      <c r="E98" s="26" t="n">
        <v>8</v>
      </c>
    </row>
    <row r="99" customFormat="false" ht="15" hidden="false" customHeight="false" outlineLevel="0" collapsed="false">
      <c r="A99" s="25" t="n">
        <v>46207</v>
      </c>
      <c r="B99" s="26" t="s">
        <v>18</v>
      </c>
      <c r="C99" s="26" t="s">
        <v>74</v>
      </c>
      <c r="D99" s="26" t="s">
        <v>29</v>
      </c>
      <c r="E99" s="26" t="n">
        <v>7</v>
      </c>
    </row>
    <row r="100" customFormat="false" ht="15" hidden="false" customHeight="false" outlineLevel="0" collapsed="false">
      <c r="A100" s="25" t="n">
        <v>46207</v>
      </c>
      <c r="B100" s="26" t="s">
        <v>18</v>
      </c>
      <c r="C100" s="26" t="s">
        <v>74</v>
      </c>
      <c r="D100" s="26" t="s">
        <v>27</v>
      </c>
      <c r="E100" s="26" t="n">
        <v>36</v>
      </c>
    </row>
    <row r="101" customFormat="false" ht="15" hidden="false" customHeight="false" outlineLevel="0" collapsed="false">
      <c r="A101" s="25" t="n">
        <v>46207</v>
      </c>
      <c r="B101" s="26" t="s">
        <v>18</v>
      </c>
      <c r="C101" s="26" t="s">
        <v>74</v>
      </c>
      <c r="D101" s="26" t="s">
        <v>26</v>
      </c>
      <c r="E101" s="26" t="n">
        <v>29</v>
      </c>
    </row>
    <row r="102" customFormat="false" ht="15" hidden="false" customHeight="false" outlineLevel="0" collapsed="false">
      <c r="A102" s="25" t="n">
        <v>46207</v>
      </c>
      <c r="B102" s="26" t="s">
        <v>18</v>
      </c>
      <c r="C102" s="26" t="s">
        <v>74</v>
      </c>
      <c r="D102" s="26" t="s">
        <v>30</v>
      </c>
      <c r="E102" s="26" t="n">
        <v>19</v>
      </c>
    </row>
    <row r="103" customFormat="false" ht="15" hidden="false" customHeight="false" outlineLevel="0" collapsed="false">
      <c r="A103" s="25" t="n">
        <v>46207</v>
      </c>
      <c r="B103" s="26" t="s">
        <v>18</v>
      </c>
      <c r="C103" s="26" t="s">
        <v>74</v>
      </c>
      <c r="D103" s="26" t="s">
        <v>29</v>
      </c>
      <c r="E103" s="26" t="n">
        <v>16</v>
      </c>
    </row>
    <row r="104" customFormat="false" ht="15" hidden="false" customHeight="false" outlineLevel="0" collapsed="false">
      <c r="A104" s="25" t="n">
        <v>46208</v>
      </c>
      <c r="B104" s="26" t="s">
        <v>16</v>
      </c>
      <c r="C104" s="26" t="s">
        <v>72</v>
      </c>
      <c r="D104" s="26" t="s">
        <v>26</v>
      </c>
      <c r="E104" s="26" t="n">
        <v>60</v>
      </c>
    </row>
    <row r="105" customFormat="false" ht="15" hidden="false" customHeight="false" outlineLevel="0" collapsed="false">
      <c r="A105" s="25" t="n">
        <v>46208</v>
      </c>
      <c r="B105" s="26" t="s">
        <v>16</v>
      </c>
      <c r="C105" s="26" t="s">
        <v>72</v>
      </c>
      <c r="D105" s="26" t="s">
        <v>28</v>
      </c>
      <c r="E105" s="26" t="n">
        <v>19</v>
      </c>
    </row>
    <row r="106" customFormat="false" ht="15" hidden="false" customHeight="false" outlineLevel="0" collapsed="false">
      <c r="A106" s="25" t="n">
        <v>46208</v>
      </c>
      <c r="B106" s="26" t="s">
        <v>16</v>
      </c>
      <c r="C106" s="26" t="s">
        <v>72</v>
      </c>
      <c r="D106" s="26" t="s">
        <v>26</v>
      </c>
      <c r="E106" s="26" t="n">
        <v>28</v>
      </c>
    </row>
    <row r="107" customFormat="false" ht="15" hidden="false" customHeight="false" outlineLevel="0" collapsed="false">
      <c r="A107" s="25" t="n">
        <v>46208</v>
      </c>
      <c r="B107" s="26" t="s">
        <v>16</v>
      </c>
      <c r="C107" s="26" t="s">
        <v>74</v>
      </c>
      <c r="D107" s="26" t="s">
        <v>28</v>
      </c>
      <c r="E107" s="26" t="n">
        <v>40</v>
      </c>
    </row>
    <row r="108" customFormat="false" ht="15" hidden="false" customHeight="false" outlineLevel="0" collapsed="false">
      <c r="A108" s="25" t="n">
        <v>46208</v>
      </c>
      <c r="B108" s="26" t="s">
        <v>16</v>
      </c>
      <c r="C108" s="26" t="s">
        <v>74</v>
      </c>
      <c r="D108" s="26" t="s">
        <v>29</v>
      </c>
      <c r="E108" s="26" t="n">
        <v>11</v>
      </c>
    </row>
    <row r="109" customFormat="false" ht="15" hidden="false" customHeight="false" outlineLevel="0" collapsed="false">
      <c r="A109" s="25" t="n">
        <v>46208</v>
      </c>
      <c r="B109" s="26" t="s">
        <v>17</v>
      </c>
      <c r="C109" s="26" t="s">
        <v>72</v>
      </c>
      <c r="D109" s="26" t="s">
        <v>29</v>
      </c>
      <c r="E109" s="26" t="n">
        <v>18</v>
      </c>
    </row>
    <row r="110" customFormat="false" ht="15" hidden="false" customHeight="false" outlineLevel="0" collapsed="false">
      <c r="A110" s="25" t="n">
        <v>46208</v>
      </c>
      <c r="B110" s="26" t="s">
        <v>17</v>
      </c>
      <c r="C110" s="26" t="s">
        <v>72</v>
      </c>
      <c r="D110" s="26" t="s">
        <v>27</v>
      </c>
      <c r="E110" s="26" t="n">
        <v>24</v>
      </c>
    </row>
    <row r="111" customFormat="false" ht="15" hidden="false" customHeight="false" outlineLevel="0" collapsed="false">
      <c r="A111" s="25" t="n">
        <v>46208</v>
      </c>
      <c r="B111" s="26" t="s">
        <v>17</v>
      </c>
      <c r="C111" s="26" t="s">
        <v>72</v>
      </c>
      <c r="D111" s="26" t="s">
        <v>27</v>
      </c>
      <c r="E111" s="26" t="n">
        <v>44</v>
      </c>
    </row>
    <row r="112" customFormat="false" ht="15" hidden="false" customHeight="false" outlineLevel="0" collapsed="false">
      <c r="A112" s="25" t="n">
        <v>46208</v>
      </c>
      <c r="B112" s="26" t="s">
        <v>17</v>
      </c>
      <c r="C112" s="26" t="s">
        <v>72</v>
      </c>
      <c r="D112" s="26" t="s">
        <v>29</v>
      </c>
      <c r="E112" s="26" t="n">
        <v>18</v>
      </c>
    </row>
    <row r="113" customFormat="false" ht="15" hidden="false" customHeight="false" outlineLevel="0" collapsed="false">
      <c r="A113" s="25" t="n">
        <v>46208</v>
      </c>
      <c r="B113" s="26" t="s">
        <v>17</v>
      </c>
      <c r="C113" s="26" t="s">
        <v>72</v>
      </c>
      <c r="D113" s="26" t="s">
        <v>30</v>
      </c>
      <c r="E113" s="26" t="n">
        <v>39</v>
      </c>
    </row>
    <row r="114" customFormat="false" ht="15" hidden="false" customHeight="false" outlineLevel="0" collapsed="false">
      <c r="A114" s="25" t="n">
        <v>46208</v>
      </c>
      <c r="B114" s="26" t="s">
        <v>17</v>
      </c>
      <c r="C114" s="26" t="s">
        <v>72</v>
      </c>
      <c r="D114" s="26" t="s">
        <v>27</v>
      </c>
      <c r="E114" s="26" t="n">
        <v>8</v>
      </c>
    </row>
    <row r="115" customFormat="false" ht="15" hidden="false" customHeight="false" outlineLevel="0" collapsed="false">
      <c r="A115" s="25" t="n">
        <v>46208</v>
      </c>
      <c r="B115" s="26" t="s">
        <v>17</v>
      </c>
      <c r="C115" s="26" t="s">
        <v>73</v>
      </c>
      <c r="D115" s="26" t="s">
        <v>26</v>
      </c>
      <c r="E115" s="26" t="n">
        <v>47</v>
      </c>
    </row>
    <row r="116" customFormat="false" ht="15" hidden="false" customHeight="false" outlineLevel="0" collapsed="false">
      <c r="A116" s="25" t="n">
        <v>46208</v>
      </c>
      <c r="B116" s="26" t="s">
        <v>17</v>
      </c>
      <c r="C116" s="26" t="s">
        <v>73</v>
      </c>
      <c r="D116" s="26" t="s">
        <v>26</v>
      </c>
      <c r="E116" s="26" t="n">
        <v>43</v>
      </c>
    </row>
    <row r="117" customFormat="false" ht="15" hidden="false" customHeight="false" outlineLevel="0" collapsed="false">
      <c r="A117" s="25" t="n">
        <v>46208</v>
      </c>
      <c r="B117" s="26" t="s">
        <v>17</v>
      </c>
      <c r="C117" s="26" t="s">
        <v>73</v>
      </c>
      <c r="D117" s="26" t="s">
        <v>32</v>
      </c>
      <c r="E117" s="26" t="n">
        <v>5</v>
      </c>
    </row>
    <row r="118" customFormat="false" ht="15" hidden="false" customHeight="false" outlineLevel="0" collapsed="false">
      <c r="A118" s="25" t="n">
        <v>46208</v>
      </c>
      <c r="B118" s="26" t="s">
        <v>17</v>
      </c>
      <c r="C118" s="26" t="s">
        <v>73</v>
      </c>
      <c r="D118" s="26" t="s">
        <v>27</v>
      </c>
      <c r="E118" s="26" t="n">
        <v>8</v>
      </c>
    </row>
    <row r="119" customFormat="false" ht="15" hidden="false" customHeight="false" outlineLevel="0" collapsed="false">
      <c r="A119" s="25" t="n">
        <v>46208</v>
      </c>
      <c r="B119" s="26" t="s">
        <v>17</v>
      </c>
      <c r="C119" s="26" t="s">
        <v>73</v>
      </c>
      <c r="D119" s="26" t="s">
        <v>28</v>
      </c>
      <c r="E119" s="26" t="n">
        <v>32</v>
      </c>
    </row>
    <row r="120" customFormat="false" ht="15" hidden="false" customHeight="false" outlineLevel="0" collapsed="false">
      <c r="A120" s="25" t="n">
        <v>46208</v>
      </c>
      <c r="B120" s="26" t="s">
        <v>17</v>
      </c>
      <c r="C120" s="26" t="s">
        <v>74</v>
      </c>
      <c r="D120" s="26" t="s">
        <v>30</v>
      </c>
      <c r="E120" s="26" t="n">
        <v>18</v>
      </c>
    </row>
    <row r="121" customFormat="false" ht="15" hidden="false" customHeight="false" outlineLevel="0" collapsed="false">
      <c r="A121" s="25" t="n">
        <v>46208</v>
      </c>
      <c r="B121" s="26" t="s">
        <v>17</v>
      </c>
      <c r="C121" s="26" t="s">
        <v>74</v>
      </c>
      <c r="D121" s="26" t="s">
        <v>27</v>
      </c>
      <c r="E121" s="26" t="n">
        <v>11</v>
      </c>
    </row>
    <row r="122" customFormat="false" ht="15" hidden="false" customHeight="false" outlineLevel="0" collapsed="false">
      <c r="A122" s="25" t="n">
        <v>46208</v>
      </c>
      <c r="B122" s="26" t="s">
        <v>17</v>
      </c>
      <c r="C122" s="26" t="s">
        <v>74</v>
      </c>
      <c r="D122" s="26" t="s">
        <v>27</v>
      </c>
      <c r="E122" s="26" t="n">
        <v>41</v>
      </c>
    </row>
    <row r="123" customFormat="false" ht="15" hidden="false" customHeight="false" outlineLevel="0" collapsed="false">
      <c r="A123" s="25" t="n">
        <v>46208</v>
      </c>
      <c r="B123" s="26" t="s">
        <v>17</v>
      </c>
      <c r="C123" s="26" t="s">
        <v>74</v>
      </c>
      <c r="D123" s="26" t="s">
        <v>29</v>
      </c>
      <c r="E123" s="26" t="n">
        <v>9</v>
      </c>
    </row>
    <row r="124" customFormat="false" ht="15" hidden="false" customHeight="false" outlineLevel="0" collapsed="false">
      <c r="A124" s="25" t="n">
        <v>46208</v>
      </c>
      <c r="B124" s="26" t="s">
        <v>18</v>
      </c>
      <c r="C124" s="26" t="s">
        <v>72</v>
      </c>
      <c r="D124" s="26" t="s">
        <v>27</v>
      </c>
      <c r="E124" s="26" t="n">
        <v>13</v>
      </c>
    </row>
    <row r="125" customFormat="false" ht="15" hidden="false" customHeight="false" outlineLevel="0" collapsed="false">
      <c r="A125" s="25" t="n">
        <v>46208</v>
      </c>
      <c r="B125" s="26" t="s">
        <v>18</v>
      </c>
      <c r="C125" s="26" t="s">
        <v>72</v>
      </c>
      <c r="D125" s="26" t="s">
        <v>30</v>
      </c>
      <c r="E125" s="26" t="n">
        <v>16</v>
      </c>
    </row>
    <row r="126" customFormat="false" ht="15" hidden="false" customHeight="false" outlineLevel="0" collapsed="false">
      <c r="A126" s="25" t="n">
        <v>46208</v>
      </c>
      <c r="B126" s="26" t="s">
        <v>18</v>
      </c>
      <c r="C126" s="26" t="s">
        <v>73</v>
      </c>
      <c r="D126" s="26" t="s">
        <v>29</v>
      </c>
      <c r="E126" s="26" t="n">
        <v>7</v>
      </c>
    </row>
    <row r="127" customFormat="false" ht="15" hidden="false" customHeight="false" outlineLevel="0" collapsed="false">
      <c r="A127" s="25" t="n">
        <v>46208</v>
      </c>
      <c r="B127" s="26" t="s">
        <v>18</v>
      </c>
      <c r="C127" s="26" t="s">
        <v>74</v>
      </c>
      <c r="D127" s="26" t="s">
        <v>28</v>
      </c>
      <c r="E127" s="26" t="n">
        <v>39</v>
      </c>
    </row>
    <row r="128" customFormat="false" ht="15" hidden="false" customHeight="false" outlineLevel="0" collapsed="false">
      <c r="A128" s="25" t="n">
        <v>46208</v>
      </c>
      <c r="B128" s="26" t="s">
        <v>18</v>
      </c>
      <c r="C128" s="26" t="s">
        <v>74</v>
      </c>
      <c r="D128" s="26" t="s">
        <v>26</v>
      </c>
      <c r="E128" s="26" t="n">
        <v>89</v>
      </c>
    </row>
    <row r="129" customFormat="false" ht="15" hidden="false" customHeight="false" outlineLevel="0" collapsed="false">
      <c r="A129" s="25" t="n">
        <v>46209</v>
      </c>
      <c r="B129" s="26" t="s">
        <v>16</v>
      </c>
      <c r="C129" s="26" t="s">
        <v>72</v>
      </c>
      <c r="D129" s="26" t="s">
        <v>27</v>
      </c>
      <c r="E129" s="26" t="n">
        <v>24</v>
      </c>
    </row>
    <row r="130" customFormat="false" ht="15" hidden="false" customHeight="false" outlineLevel="0" collapsed="false">
      <c r="A130" s="25" t="n">
        <v>46209</v>
      </c>
      <c r="B130" s="26" t="s">
        <v>16</v>
      </c>
      <c r="C130" s="26" t="s">
        <v>73</v>
      </c>
      <c r="D130" s="26" t="s">
        <v>30</v>
      </c>
      <c r="E130" s="26" t="n">
        <v>22</v>
      </c>
    </row>
    <row r="131" customFormat="false" ht="15" hidden="false" customHeight="false" outlineLevel="0" collapsed="false">
      <c r="A131" s="25" t="n">
        <v>46209</v>
      </c>
      <c r="B131" s="26" t="s">
        <v>16</v>
      </c>
      <c r="C131" s="26" t="s">
        <v>74</v>
      </c>
      <c r="D131" s="26" t="s">
        <v>27</v>
      </c>
      <c r="E131" s="26" t="n">
        <v>11</v>
      </c>
    </row>
    <row r="132" customFormat="false" ht="15" hidden="false" customHeight="false" outlineLevel="0" collapsed="false">
      <c r="A132" s="25" t="n">
        <v>46209</v>
      </c>
      <c r="B132" s="26" t="s">
        <v>16</v>
      </c>
      <c r="C132" s="26" t="s">
        <v>74</v>
      </c>
      <c r="D132" s="26" t="s">
        <v>28</v>
      </c>
      <c r="E132" s="26" t="n">
        <v>33</v>
      </c>
    </row>
    <row r="133" customFormat="false" ht="15" hidden="false" customHeight="false" outlineLevel="0" collapsed="false">
      <c r="A133" s="25" t="n">
        <v>46209</v>
      </c>
      <c r="B133" s="26" t="s">
        <v>16</v>
      </c>
      <c r="C133" s="26" t="s">
        <v>74</v>
      </c>
      <c r="D133" s="26" t="s">
        <v>28</v>
      </c>
      <c r="E133" s="26" t="n">
        <v>43</v>
      </c>
    </row>
    <row r="134" customFormat="false" ht="15" hidden="false" customHeight="false" outlineLevel="0" collapsed="false">
      <c r="A134" s="25" t="n">
        <v>46209</v>
      </c>
      <c r="B134" s="26" t="s">
        <v>17</v>
      </c>
      <c r="C134" s="26" t="s">
        <v>72</v>
      </c>
      <c r="D134" s="26" t="s">
        <v>32</v>
      </c>
      <c r="E134" s="26" t="n">
        <v>10</v>
      </c>
    </row>
    <row r="135" customFormat="false" ht="15" hidden="false" customHeight="false" outlineLevel="0" collapsed="false">
      <c r="A135" s="25" t="n">
        <v>46209</v>
      </c>
      <c r="B135" s="26" t="s">
        <v>17</v>
      </c>
      <c r="C135" s="26" t="s">
        <v>73</v>
      </c>
      <c r="D135" s="26" t="s">
        <v>27</v>
      </c>
      <c r="E135" s="26" t="n">
        <v>32</v>
      </c>
    </row>
    <row r="136" customFormat="false" ht="15" hidden="false" customHeight="false" outlineLevel="0" collapsed="false">
      <c r="A136" s="25" t="n">
        <v>46209</v>
      </c>
      <c r="B136" s="26" t="s">
        <v>17</v>
      </c>
      <c r="C136" s="26" t="s">
        <v>74</v>
      </c>
      <c r="D136" s="26" t="s">
        <v>27</v>
      </c>
      <c r="E136" s="26" t="n">
        <v>30</v>
      </c>
    </row>
    <row r="137" customFormat="false" ht="15" hidden="false" customHeight="false" outlineLevel="0" collapsed="false">
      <c r="A137" s="25" t="n">
        <v>46209</v>
      </c>
      <c r="B137" s="26" t="s">
        <v>17</v>
      </c>
      <c r="C137" s="26" t="s">
        <v>74</v>
      </c>
      <c r="D137" s="26" t="s">
        <v>26</v>
      </c>
      <c r="E137" s="26" t="n">
        <v>25</v>
      </c>
    </row>
    <row r="138" customFormat="false" ht="15" hidden="false" customHeight="false" outlineLevel="0" collapsed="false">
      <c r="A138" s="25" t="n">
        <v>46209</v>
      </c>
      <c r="B138" s="26" t="s">
        <v>18</v>
      </c>
      <c r="C138" s="26" t="s">
        <v>73</v>
      </c>
      <c r="D138" s="26" t="s">
        <v>27</v>
      </c>
      <c r="E138" s="26" t="n">
        <v>23</v>
      </c>
    </row>
    <row r="139" customFormat="false" ht="15" hidden="false" customHeight="false" outlineLevel="0" collapsed="false">
      <c r="A139" s="25" t="n">
        <v>46209</v>
      </c>
      <c r="B139" s="26" t="s">
        <v>18</v>
      </c>
      <c r="C139" s="26" t="s">
        <v>73</v>
      </c>
      <c r="D139" s="26" t="s">
        <v>30</v>
      </c>
      <c r="E139" s="26" t="n">
        <v>35</v>
      </c>
    </row>
    <row r="140" customFormat="false" ht="15" hidden="false" customHeight="false" outlineLevel="0" collapsed="false">
      <c r="A140" s="25" t="n">
        <v>46209</v>
      </c>
      <c r="B140" s="26" t="s">
        <v>18</v>
      </c>
      <c r="C140" s="26" t="s">
        <v>73</v>
      </c>
      <c r="D140" s="26" t="s">
        <v>32</v>
      </c>
      <c r="E140" s="26" t="n">
        <v>6</v>
      </c>
    </row>
    <row r="141" customFormat="false" ht="15" hidden="false" customHeight="false" outlineLevel="0" collapsed="false">
      <c r="A141" s="25" t="n">
        <v>46209</v>
      </c>
      <c r="B141" s="26" t="s">
        <v>18</v>
      </c>
      <c r="C141" s="26" t="s">
        <v>73</v>
      </c>
      <c r="D141" s="26" t="s">
        <v>29</v>
      </c>
      <c r="E141" s="26" t="n">
        <v>34</v>
      </c>
    </row>
    <row r="142" customFormat="false" ht="15" hidden="false" customHeight="false" outlineLevel="0" collapsed="false">
      <c r="A142" s="25" t="n">
        <v>46209</v>
      </c>
      <c r="B142" s="26" t="s">
        <v>18</v>
      </c>
      <c r="C142" s="26" t="s">
        <v>74</v>
      </c>
      <c r="D142" s="26" t="s">
        <v>29</v>
      </c>
      <c r="E142" s="26" t="n">
        <v>13</v>
      </c>
    </row>
    <row r="143" customFormat="false" ht="15" hidden="false" customHeight="false" outlineLevel="0" collapsed="false">
      <c r="A143" s="25" t="n">
        <v>46209</v>
      </c>
      <c r="B143" s="26" t="s">
        <v>18</v>
      </c>
      <c r="C143" s="26" t="s">
        <v>74</v>
      </c>
      <c r="D143" s="26" t="s">
        <v>27</v>
      </c>
      <c r="E143" s="26" t="n">
        <v>32</v>
      </c>
    </row>
    <row r="144" customFormat="false" ht="15" hidden="false" customHeight="false" outlineLevel="0" collapsed="false">
      <c r="A144" s="25" t="n">
        <v>46209</v>
      </c>
      <c r="B144" s="26" t="s">
        <v>18</v>
      </c>
      <c r="C144" s="26" t="s">
        <v>74</v>
      </c>
      <c r="D144" s="26" t="s">
        <v>30</v>
      </c>
      <c r="E144" s="26" t="n">
        <v>45</v>
      </c>
    </row>
    <row r="145" customFormat="false" ht="15" hidden="false" customHeight="false" outlineLevel="0" collapsed="false">
      <c r="A145" s="25" t="n">
        <v>46210</v>
      </c>
      <c r="B145" s="26" t="s">
        <v>16</v>
      </c>
      <c r="C145" s="26" t="s">
        <v>72</v>
      </c>
      <c r="D145" s="26" t="s">
        <v>28</v>
      </c>
      <c r="E145" s="26" t="n">
        <v>53</v>
      </c>
    </row>
    <row r="146" customFormat="false" ht="15" hidden="false" customHeight="false" outlineLevel="0" collapsed="false">
      <c r="A146" s="25" t="n">
        <v>46210</v>
      </c>
      <c r="B146" s="26" t="s">
        <v>16</v>
      </c>
      <c r="C146" s="26" t="s">
        <v>73</v>
      </c>
      <c r="D146" s="26" t="s">
        <v>30</v>
      </c>
      <c r="E146" s="26" t="n">
        <v>15</v>
      </c>
    </row>
    <row r="147" customFormat="false" ht="15" hidden="false" customHeight="false" outlineLevel="0" collapsed="false">
      <c r="A147" s="25" t="n">
        <v>46210</v>
      </c>
      <c r="B147" s="26" t="s">
        <v>16</v>
      </c>
      <c r="C147" s="26" t="s">
        <v>73</v>
      </c>
      <c r="D147" s="26" t="s">
        <v>26</v>
      </c>
      <c r="E147" s="26" t="n">
        <v>26</v>
      </c>
    </row>
    <row r="148" customFormat="false" ht="15" hidden="false" customHeight="false" outlineLevel="0" collapsed="false">
      <c r="A148" s="25" t="n">
        <v>46210</v>
      </c>
      <c r="B148" s="26" t="s">
        <v>16</v>
      </c>
      <c r="C148" s="26" t="s">
        <v>73</v>
      </c>
      <c r="D148" s="26" t="s">
        <v>29</v>
      </c>
      <c r="E148" s="26" t="n">
        <v>6</v>
      </c>
    </row>
    <row r="149" customFormat="false" ht="15" hidden="false" customHeight="false" outlineLevel="0" collapsed="false">
      <c r="A149" s="25" t="n">
        <v>46210</v>
      </c>
      <c r="B149" s="26" t="s">
        <v>16</v>
      </c>
      <c r="C149" s="26" t="s">
        <v>74</v>
      </c>
      <c r="D149" s="26" t="s">
        <v>30</v>
      </c>
      <c r="E149" s="26" t="n">
        <v>10</v>
      </c>
    </row>
    <row r="150" customFormat="false" ht="15" hidden="false" customHeight="false" outlineLevel="0" collapsed="false">
      <c r="A150" s="25" t="n">
        <v>46210</v>
      </c>
      <c r="B150" s="26" t="s">
        <v>16</v>
      </c>
      <c r="C150" s="26" t="s">
        <v>74</v>
      </c>
      <c r="D150" s="26" t="s">
        <v>28</v>
      </c>
      <c r="E150" s="26" t="n">
        <v>59</v>
      </c>
    </row>
    <row r="151" customFormat="false" ht="15" hidden="false" customHeight="false" outlineLevel="0" collapsed="false">
      <c r="A151" s="25" t="n">
        <v>46210</v>
      </c>
      <c r="B151" s="26" t="s">
        <v>17</v>
      </c>
      <c r="C151" s="26" t="s">
        <v>72</v>
      </c>
      <c r="D151" s="26" t="s">
        <v>29</v>
      </c>
      <c r="E151" s="26" t="n">
        <v>27</v>
      </c>
    </row>
    <row r="152" customFormat="false" ht="15" hidden="false" customHeight="false" outlineLevel="0" collapsed="false">
      <c r="A152" s="25" t="n">
        <v>46210</v>
      </c>
      <c r="B152" s="26" t="s">
        <v>17</v>
      </c>
      <c r="C152" s="26" t="s">
        <v>73</v>
      </c>
      <c r="D152" s="26" t="s">
        <v>26</v>
      </c>
      <c r="E152" s="26" t="n">
        <v>73</v>
      </c>
    </row>
    <row r="153" customFormat="false" ht="15" hidden="false" customHeight="false" outlineLevel="0" collapsed="false">
      <c r="A153" s="25" t="n">
        <v>46210</v>
      </c>
      <c r="B153" s="26" t="s">
        <v>17</v>
      </c>
      <c r="C153" s="26" t="s">
        <v>73</v>
      </c>
      <c r="D153" s="26" t="s">
        <v>28</v>
      </c>
      <c r="E153" s="26" t="n">
        <v>35</v>
      </c>
    </row>
    <row r="154" customFormat="false" ht="15" hidden="false" customHeight="false" outlineLevel="0" collapsed="false">
      <c r="A154" s="25" t="n">
        <v>46210</v>
      </c>
      <c r="B154" s="26" t="s">
        <v>17</v>
      </c>
      <c r="C154" s="26" t="s">
        <v>73</v>
      </c>
      <c r="D154" s="26" t="s">
        <v>26</v>
      </c>
      <c r="E154" s="26" t="n">
        <v>52</v>
      </c>
    </row>
    <row r="155" customFormat="false" ht="15" hidden="false" customHeight="false" outlineLevel="0" collapsed="false">
      <c r="A155" s="25" t="n">
        <v>46210</v>
      </c>
      <c r="B155" s="26" t="s">
        <v>17</v>
      </c>
      <c r="C155" s="26" t="s">
        <v>73</v>
      </c>
      <c r="D155" s="26" t="s">
        <v>28</v>
      </c>
      <c r="E155" s="26" t="n">
        <v>14</v>
      </c>
    </row>
    <row r="156" customFormat="false" ht="15" hidden="false" customHeight="false" outlineLevel="0" collapsed="false">
      <c r="A156" s="25" t="n">
        <v>46210</v>
      </c>
      <c r="B156" s="26" t="s">
        <v>17</v>
      </c>
      <c r="C156" s="26" t="s">
        <v>73</v>
      </c>
      <c r="D156" s="26" t="s">
        <v>29</v>
      </c>
      <c r="E156" s="26" t="n">
        <v>21</v>
      </c>
    </row>
    <row r="157" customFormat="false" ht="15" hidden="false" customHeight="false" outlineLevel="0" collapsed="false">
      <c r="A157" s="25" t="n">
        <v>46210</v>
      </c>
      <c r="B157" s="26" t="s">
        <v>17</v>
      </c>
      <c r="C157" s="26" t="s">
        <v>74</v>
      </c>
      <c r="D157" s="26" t="s">
        <v>26</v>
      </c>
      <c r="E157" s="26" t="n">
        <v>59</v>
      </c>
    </row>
    <row r="158" customFormat="false" ht="15" hidden="false" customHeight="false" outlineLevel="0" collapsed="false">
      <c r="A158" s="25" t="n">
        <v>46210</v>
      </c>
      <c r="B158" s="26" t="s">
        <v>17</v>
      </c>
      <c r="C158" s="26" t="s">
        <v>74</v>
      </c>
      <c r="D158" s="26" t="s">
        <v>26</v>
      </c>
      <c r="E158" s="26" t="n">
        <v>61</v>
      </c>
    </row>
    <row r="159" customFormat="false" ht="15" hidden="false" customHeight="false" outlineLevel="0" collapsed="false">
      <c r="A159" s="25" t="n">
        <v>46210</v>
      </c>
      <c r="B159" s="26" t="s">
        <v>18</v>
      </c>
      <c r="C159" s="26" t="s">
        <v>72</v>
      </c>
      <c r="D159" s="26" t="s">
        <v>28</v>
      </c>
      <c r="E159" s="26" t="n">
        <v>42</v>
      </c>
    </row>
    <row r="160" customFormat="false" ht="15" hidden="false" customHeight="false" outlineLevel="0" collapsed="false">
      <c r="A160" s="25" t="n">
        <v>46210</v>
      </c>
      <c r="B160" s="26" t="s">
        <v>18</v>
      </c>
      <c r="C160" s="26" t="s">
        <v>72</v>
      </c>
      <c r="D160" s="26" t="s">
        <v>26</v>
      </c>
      <c r="E160" s="26" t="n">
        <v>55</v>
      </c>
    </row>
    <row r="161" customFormat="false" ht="15" hidden="false" customHeight="false" outlineLevel="0" collapsed="false">
      <c r="A161" s="25" t="n">
        <v>46210</v>
      </c>
      <c r="B161" s="26" t="s">
        <v>18</v>
      </c>
      <c r="C161" s="26" t="s">
        <v>72</v>
      </c>
      <c r="D161" s="26" t="s">
        <v>30</v>
      </c>
      <c r="E161" s="26" t="n">
        <v>25</v>
      </c>
    </row>
    <row r="162" customFormat="false" ht="15" hidden="false" customHeight="false" outlineLevel="0" collapsed="false">
      <c r="A162" s="25" t="n">
        <v>46210</v>
      </c>
      <c r="B162" s="26" t="s">
        <v>18</v>
      </c>
      <c r="C162" s="26" t="s">
        <v>73</v>
      </c>
      <c r="D162" s="26" t="s">
        <v>28</v>
      </c>
      <c r="E162" s="26" t="n">
        <v>117</v>
      </c>
    </row>
    <row r="163" customFormat="false" ht="15" hidden="false" customHeight="false" outlineLevel="0" collapsed="false">
      <c r="A163" s="25" t="n">
        <v>46210</v>
      </c>
      <c r="B163" s="26" t="s">
        <v>18</v>
      </c>
      <c r="C163" s="26" t="s">
        <v>74</v>
      </c>
      <c r="D163" s="26" t="s">
        <v>32</v>
      </c>
      <c r="E163" s="26" t="n">
        <v>17</v>
      </c>
    </row>
    <row r="164" customFormat="false" ht="15" hidden="false" customHeight="false" outlineLevel="0" collapsed="false">
      <c r="A164" s="25" t="n">
        <v>46210</v>
      </c>
      <c r="B164" s="26" t="s">
        <v>18</v>
      </c>
      <c r="C164" s="26" t="s">
        <v>74</v>
      </c>
      <c r="D164" s="26" t="s">
        <v>26</v>
      </c>
      <c r="E164" s="26" t="n">
        <v>33</v>
      </c>
    </row>
    <row r="165" customFormat="false" ht="15" hidden="false" customHeight="false" outlineLevel="0" collapsed="false">
      <c r="A165" s="25" t="n">
        <v>46210</v>
      </c>
      <c r="B165" s="26" t="s">
        <v>18</v>
      </c>
      <c r="C165" s="26" t="s">
        <v>74</v>
      </c>
      <c r="D165" s="26" t="s">
        <v>26</v>
      </c>
      <c r="E165" s="26" t="n">
        <v>48</v>
      </c>
    </row>
    <row r="166" customFormat="false" ht="15" hidden="false" customHeight="false" outlineLevel="0" collapsed="false">
      <c r="A166" s="25" t="n">
        <v>46211</v>
      </c>
      <c r="B166" s="26" t="s">
        <v>16</v>
      </c>
      <c r="C166" s="26" t="s">
        <v>72</v>
      </c>
      <c r="D166" s="26" t="s">
        <v>28</v>
      </c>
      <c r="E166" s="26" t="n">
        <v>39</v>
      </c>
    </row>
    <row r="167" customFormat="false" ht="15" hidden="false" customHeight="false" outlineLevel="0" collapsed="false">
      <c r="A167" s="25" t="n">
        <v>46211</v>
      </c>
      <c r="B167" s="26" t="s">
        <v>16</v>
      </c>
      <c r="C167" s="26" t="s">
        <v>72</v>
      </c>
      <c r="D167" s="26" t="s">
        <v>28</v>
      </c>
      <c r="E167" s="26" t="n">
        <v>31</v>
      </c>
    </row>
    <row r="168" customFormat="false" ht="15" hidden="false" customHeight="false" outlineLevel="0" collapsed="false">
      <c r="A168" s="25" t="n">
        <v>46211</v>
      </c>
      <c r="B168" s="26" t="s">
        <v>16</v>
      </c>
      <c r="C168" s="26" t="s">
        <v>73</v>
      </c>
      <c r="D168" s="26" t="s">
        <v>29</v>
      </c>
      <c r="E168" s="26" t="n">
        <v>29</v>
      </c>
    </row>
    <row r="169" customFormat="false" ht="15" hidden="false" customHeight="false" outlineLevel="0" collapsed="false">
      <c r="A169" s="25" t="n">
        <v>46211</v>
      </c>
      <c r="B169" s="26" t="s">
        <v>16</v>
      </c>
      <c r="C169" s="26" t="s">
        <v>73</v>
      </c>
      <c r="D169" s="26" t="s">
        <v>26</v>
      </c>
      <c r="E169" s="26" t="n">
        <v>50</v>
      </c>
    </row>
    <row r="170" customFormat="false" ht="15" hidden="false" customHeight="false" outlineLevel="0" collapsed="false">
      <c r="A170" s="25" t="n">
        <v>46211</v>
      </c>
      <c r="B170" s="26" t="s">
        <v>16</v>
      </c>
      <c r="C170" s="26" t="s">
        <v>74</v>
      </c>
      <c r="D170" s="26" t="s">
        <v>28</v>
      </c>
      <c r="E170" s="26" t="n">
        <v>64</v>
      </c>
    </row>
    <row r="171" customFormat="false" ht="15" hidden="false" customHeight="false" outlineLevel="0" collapsed="false">
      <c r="A171" s="25" t="n">
        <v>46211</v>
      </c>
      <c r="B171" s="26" t="s">
        <v>17</v>
      </c>
      <c r="C171" s="26" t="s">
        <v>72</v>
      </c>
      <c r="D171" s="26" t="s">
        <v>26</v>
      </c>
      <c r="E171" s="26" t="n">
        <v>48</v>
      </c>
    </row>
    <row r="172" customFormat="false" ht="15" hidden="false" customHeight="false" outlineLevel="0" collapsed="false">
      <c r="A172" s="25" t="n">
        <v>46211</v>
      </c>
      <c r="B172" s="26" t="s">
        <v>17</v>
      </c>
      <c r="C172" s="26" t="s">
        <v>72</v>
      </c>
      <c r="D172" s="26" t="s">
        <v>31</v>
      </c>
      <c r="E172" s="26" t="n">
        <v>51</v>
      </c>
    </row>
    <row r="173" customFormat="false" ht="15" hidden="false" customHeight="false" outlineLevel="0" collapsed="false">
      <c r="A173" s="25" t="n">
        <v>46211</v>
      </c>
      <c r="B173" s="26" t="s">
        <v>17</v>
      </c>
      <c r="C173" s="26" t="s">
        <v>72</v>
      </c>
      <c r="D173" s="26" t="s">
        <v>26</v>
      </c>
      <c r="E173" s="26" t="n">
        <v>30</v>
      </c>
    </row>
    <row r="174" customFormat="false" ht="15" hidden="false" customHeight="false" outlineLevel="0" collapsed="false">
      <c r="A174" s="25" t="n">
        <v>46211</v>
      </c>
      <c r="B174" s="26" t="s">
        <v>17</v>
      </c>
      <c r="C174" s="26" t="s">
        <v>73</v>
      </c>
      <c r="D174" s="26" t="s">
        <v>27</v>
      </c>
      <c r="E174" s="26" t="n">
        <v>20</v>
      </c>
    </row>
    <row r="175" customFormat="false" ht="15" hidden="false" customHeight="false" outlineLevel="0" collapsed="false">
      <c r="A175" s="25" t="n">
        <v>46211</v>
      </c>
      <c r="B175" s="26" t="s">
        <v>17</v>
      </c>
      <c r="C175" s="26" t="s">
        <v>74</v>
      </c>
      <c r="D175" s="26" t="s">
        <v>29</v>
      </c>
      <c r="E175" s="26" t="n">
        <v>7</v>
      </c>
    </row>
    <row r="176" customFormat="false" ht="15" hidden="false" customHeight="false" outlineLevel="0" collapsed="false">
      <c r="A176" s="25" t="n">
        <v>46211</v>
      </c>
      <c r="B176" s="26" t="s">
        <v>17</v>
      </c>
      <c r="C176" s="26" t="s">
        <v>74</v>
      </c>
      <c r="D176" s="26" t="s">
        <v>29</v>
      </c>
      <c r="E176" s="26" t="n">
        <v>10</v>
      </c>
    </row>
    <row r="177" customFormat="false" ht="15" hidden="false" customHeight="false" outlineLevel="0" collapsed="false">
      <c r="A177" s="25" t="n">
        <v>46211</v>
      </c>
      <c r="B177" s="26" t="s">
        <v>18</v>
      </c>
      <c r="C177" s="26" t="s">
        <v>72</v>
      </c>
      <c r="D177" s="26" t="s">
        <v>29</v>
      </c>
      <c r="E177" s="26" t="n">
        <v>17</v>
      </c>
    </row>
    <row r="178" customFormat="false" ht="15" hidden="false" customHeight="false" outlineLevel="0" collapsed="false">
      <c r="A178" s="25" t="n">
        <v>46211</v>
      </c>
      <c r="B178" s="26" t="s">
        <v>18</v>
      </c>
      <c r="C178" s="26" t="s">
        <v>72</v>
      </c>
      <c r="D178" s="26" t="s">
        <v>26</v>
      </c>
      <c r="E178" s="26" t="n">
        <v>34</v>
      </c>
    </row>
    <row r="179" customFormat="false" ht="15" hidden="false" customHeight="false" outlineLevel="0" collapsed="false">
      <c r="A179" s="25" t="n">
        <v>46211</v>
      </c>
      <c r="B179" s="26" t="s">
        <v>18</v>
      </c>
      <c r="C179" s="26" t="s">
        <v>73</v>
      </c>
      <c r="D179" s="26" t="s">
        <v>27</v>
      </c>
      <c r="E179" s="26" t="n">
        <v>82</v>
      </c>
    </row>
    <row r="180" customFormat="false" ht="15" hidden="false" customHeight="false" outlineLevel="0" collapsed="false">
      <c r="A180" s="25" t="n">
        <v>46212</v>
      </c>
      <c r="B180" s="26" t="s">
        <v>16</v>
      </c>
      <c r="C180" s="26" t="s">
        <v>72</v>
      </c>
      <c r="D180" s="26" t="s">
        <v>30</v>
      </c>
      <c r="E180" s="26" t="n">
        <v>25</v>
      </c>
    </row>
    <row r="181" customFormat="false" ht="15" hidden="false" customHeight="false" outlineLevel="0" collapsed="false">
      <c r="A181" s="25" t="n">
        <v>46212</v>
      </c>
      <c r="B181" s="26" t="s">
        <v>16</v>
      </c>
      <c r="C181" s="26" t="s">
        <v>73</v>
      </c>
      <c r="D181" s="26" t="s">
        <v>26</v>
      </c>
      <c r="E181" s="26" t="n">
        <v>46</v>
      </c>
    </row>
    <row r="182" customFormat="false" ht="15" hidden="false" customHeight="false" outlineLevel="0" collapsed="false">
      <c r="A182" s="25" t="n">
        <v>46212</v>
      </c>
      <c r="B182" s="26" t="s">
        <v>16</v>
      </c>
      <c r="C182" s="26" t="s">
        <v>73</v>
      </c>
      <c r="D182" s="26" t="s">
        <v>29</v>
      </c>
      <c r="E182" s="26" t="n">
        <v>10</v>
      </c>
    </row>
    <row r="183" customFormat="false" ht="15" hidden="false" customHeight="false" outlineLevel="0" collapsed="false">
      <c r="A183" s="25" t="n">
        <v>46212</v>
      </c>
      <c r="B183" s="26" t="s">
        <v>16</v>
      </c>
      <c r="C183" s="26" t="s">
        <v>74</v>
      </c>
      <c r="D183" s="26" t="s">
        <v>32</v>
      </c>
      <c r="E183" s="26" t="n">
        <v>9</v>
      </c>
    </row>
    <row r="184" customFormat="false" ht="15" hidden="false" customHeight="false" outlineLevel="0" collapsed="false">
      <c r="A184" s="25" t="n">
        <v>46212</v>
      </c>
      <c r="B184" s="26" t="s">
        <v>17</v>
      </c>
      <c r="C184" s="26" t="s">
        <v>72</v>
      </c>
      <c r="D184" s="26" t="s">
        <v>26</v>
      </c>
      <c r="E184" s="26" t="n">
        <v>27</v>
      </c>
    </row>
    <row r="185" customFormat="false" ht="15" hidden="false" customHeight="false" outlineLevel="0" collapsed="false">
      <c r="A185" s="25" t="n">
        <v>46212</v>
      </c>
      <c r="B185" s="26" t="s">
        <v>17</v>
      </c>
      <c r="C185" s="26" t="s">
        <v>73</v>
      </c>
      <c r="D185" s="26" t="s">
        <v>28</v>
      </c>
      <c r="E185" s="26" t="n">
        <v>33</v>
      </c>
    </row>
    <row r="186" customFormat="false" ht="15" hidden="false" customHeight="false" outlineLevel="0" collapsed="false">
      <c r="A186" s="25" t="n">
        <v>46212</v>
      </c>
      <c r="B186" s="26" t="s">
        <v>17</v>
      </c>
      <c r="C186" s="26" t="s">
        <v>74</v>
      </c>
      <c r="D186" s="26" t="s">
        <v>29</v>
      </c>
      <c r="E186" s="26" t="n">
        <v>21</v>
      </c>
    </row>
    <row r="187" customFormat="false" ht="15" hidden="false" customHeight="false" outlineLevel="0" collapsed="false">
      <c r="A187" s="25" t="n">
        <v>46212</v>
      </c>
      <c r="B187" s="26" t="s">
        <v>17</v>
      </c>
      <c r="C187" s="26" t="s">
        <v>74</v>
      </c>
      <c r="D187" s="26" t="s">
        <v>32</v>
      </c>
      <c r="E187" s="26" t="n">
        <v>11</v>
      </c>
    </row>
    <row r="188" customFormat="false" ht="15" hidden="false" customHeight="false" outlineLevel="0" collapsed="false">
      <c r="A188" s="25" t="n">
        <v>46212</v>
      </c>
      <c r="B188" s="26" t="s">
        <v>17</v>
      </c>
      <c r="C188" s="26" t="s">
        <v>74</v>
      </c>
      <c r="D188" s="26" t="s">
        <v>27</v>
      </c>
      <c r="E188" s="26" t="n">
        <v>16</v>
      </c>
    </row>
    <row r="189" customFormat="false" ht="15" hidden="false" customHeight="false" outlineLevel="0" collapsed="false">
      <c r="A189" s="25" t="n">
        <v>46212</v>
      </c>
      <c r="B189" s="26" t="s">
        <v>17</v>
      </c>
      <c r="C189" s="26" t="s">
        <v>74</v>
      </c>
      <c r="D189" s="26" t="s">
        <v>31</v>
      </c>
      <c r="E189" s="26" t="n">
        <v>31</v>
      </c>
    </row>
    <row r="190" customFormat="false" ht="15" hidden="false" customHeight="false" outlineLevel="0" collapsed="false">
      <c r="A190" s="25" t="n">
        <v>46212</v>
      </c>
      <c r="B190" s="26" t="s">
        <v>18</v>
      </c>
      <c r="C190" s="26" t="s">
        <v>72</v>
      </c>
      <c r="D190" s="26" t="s">
        <v>27</v>
      </c>
      <c r="E190" s="26" t="n">
        <v>31</v>
      </c>
    </row>
    <row r="191" customFormat="false" ht="15" hidden="false" customHeight="false" outlineLevel="0" collapsed="false">
      <c r="A191" s="25" t="n">
        <v>46212</v>
      </c>
      <c r="B191" s="26" t="s">
        <v>18</v>
      </c>
      <c r="C191" s="26" t="s">
        <v>72</v>
      </c>
      <c r="D191" s="26" t="s">
        <v>26</v>
      </c>
      <c r="E191" s="26" t="n">
        <v>48</v>
      </c>
    </row>
    <row r="192" customFormat="false" ht="15" hidden="false" customHeight="false" outlineLevel="0" collapsed="false">
      <c r="A192" s="25" t="n">
        <v>46212</v>
      </c>
      <c r="B192" s="26" t="s">
        <v>18</v>
      </c>
      <c r="C192" s="26" t="s">
        <v>72</v>
      </c>
      <c r="D192" s="26" t="s">
        <v>30</v>
      </c>
      <c r="E192" s="26" t="n">
        <v>49</v>
      </c>
    </row>
    <row r="193" customFormat="false" ht="15" hidden="false" customHeight="false" outlineLevel="0" collapsed="false">
      <c r="A193" s="25" t="n">
        <v>46212</v>
      </c>
      <c r="B193" s="26" t="s">
        <v>18</v>
      </c>
      <c r="C193" s="26" t="s">
        <v>73</v>
      </c>
      <c r="D193" s="26" t="s">
        <v>27</v>
      </c>
      <c r="E193" s="26" t="n">
        <v>21</v>
      </c>
    </row>
    <row r="194" customFormat="false" ht="15" hidden="false" customHeight="false" outlineLevel="0" collapsed="false">
      <c r="A194" s="25" t="n">
        <v>46212</v>
      </c>
      <c r="B194" s="26" t="s">
        <v>18</v>
      </c>
      <c r="C194" s="26" t="s">
        <v>74</v>
      </c>
      <c r="D194" s="26" t="s">
        <v>26</v>
      </c>
      <c r="E194" s="26" t="n">
        <v>30</v>
      </c>
    </row>
    <row r="195" customFormat="false" ht="15" hidden="false" customHeight="false" outlineLevel="0" collapsed="false">
      <c r="A195" s="25" t="n">
        <v>46212</v>
      </c>
      <c r="B195" s="26" t="s">
        <v>18</v>
      </c>
      <c r="C195" s="26" t="s">
        <v>74</v>
      </c>
      <c r="D195" s="26" t="s">
        <v>30</v>
      </c>
      <c r="E195" s="26" t="n">
        <v>23</v>
      </c>
    </row>
    <row r="196" customFormat="false" ht="15" hidden="false" customHeight="false" outlineLevel="0" collapsed="false">
      <c r="A196" s="25" t="n">
        <v>46213</v>
      </c>
      <c r="B196" s="26" t="s">
        <v>16</v>
      </c>
      <c r="C196" s="26" t="s">
        <v>72</v>
      </c>
      <c r="D196" s="26" t="s">
        <v>27</v>
      </c>
      <c r="E196" s="26" t="n">
        <v>117</v>
      </c>
    </row>
    <row r="197" customFormat="false" ht="15" hidden="false" customHeight="false" outlineLevel="0" collapsed="false">
      <c r="A197" s="25" t="n">
        <v>46213</v>
      </c>
      <c r="B197" s="26" t="s">
        <v>16</v>
      </c>
      <c r="C197" s="26" t="s">
        <v>72</v>
      </c>
      <c r="D197" s="26" t="s">
        <v>28</v>
      </c>
      <c r="E197" s="26" t="n">
        <v>29</v>
      </c>
    </row>
    <row r="198" customFormat="false" ht="15" hidden="false" customHeight="false" outlineLevel="0" collapsed="false">
      <c r="A198" s="25" t="n">
        <v>46213</v>
      </c>
      <c r="B198" s="26" t="s">
        <v>16</v>
      </c>
      <c r="C198" s="26" t="s">
        <v>73</v>
      </c>
      <c r="D198" s="26" t="s">
        <v>26</v>
      </c>
      <c r="E198" s="26" t="n">
        <v>22</v>
      </c>
    </row>
    <row r="199" customFormat="false" ht="15" hidden="false" customHeight="false" outlineLevel="0" collapsed="false">
      <c r="A199" s="25" t="n">
        <v>46213</v>
      </c>
      <c r="B199" s="26" t="s">
        <v>16</v>
      </c>
      <c r="C199" s="26" t="s">
        <v>73</v>
      </c>
      <c r="D199" s="26" t="s">
        <v>27</v>
      </c>
      <c r="E199" s="26" t="n">
        <v>7</v>
      </c>
    </row>
    <row r="200" customFormat="false" ht="15" hidden="false" customHeight="false" outlineLevel="0" collapsed="false">
      <c r="A200" s="25" t="n">
        <v>46213</v>
      </c>
      <c r="B200" s="26" t="s">
        <v>17</v>
      </c>
      <c r="C200" s="26" t="s">
        <v>72</v>
      </c>
      <c r="D200" s="26" t="s">
        <v>26</v>
      </c>
      <c r="E200" s="26" t="n">
        <v>48</v>
      </c>
    </row>
    <row r="201" customFormat="false" ht="15" hidden="false" customHeight="false" outlineLevel="0" collapsed="false">
      <c r="A201" s="25" t="n">
        <v>46213</v>
      </c>
      <c r="B201" s="26" t="s">
        <v>17</v>
      </c>
      <c r="C201" s="26" t="s">
        <v>72</v>
      </c>
      <c r="D201" s="26" t="s">
        <v>26</v>
      </c>
      <c r="E201" s="26" t="n">
        <v>20</v>
      </c>
    </row>
    <row r="202" customFormat="false" ht="15" hidden="false" customHeight="false" outlineLevel="0" collapsed="false">
      <c r="A202" s="25" t="n">
        <v>46213</v>
      </c>
      <c r="B202" s="26" t="s">
        <v>17</v>
      </c>
      <c r="C202" s="26" t="s">
        <v>72</v>
      </c>
      <c r="D202" s="26" t="s">
        <v>26</v>
      </c>
      <c r="E202" s="26" t="n">
        <v>72</v>
      </c>
    </row>
    <row r="203" customFormat="false" ht="15" hidden="false" customHeight="false" outlineLevel="0" collapsed="false">
      <c r="A203" s="25" t="n">
        <v>46213</v>
      </c>
      <c r="B203" s="26" t="s">
        <v>17</v>
      </c>
      <c r="C203" s="26" t="s">
        <v>73</v>
      </c>
      <c r="D203" s="26" t="s">
        <v>26</v>
      </c>
      <c r="E203" s="26" t="n">
        <v>51</v>
      </c>
    </row>
    <row r="204" customFormat="false" ht="15" hidden="false" customHeight="false" outlineLevel="0" collapsed="false">
      <c r="A204" s="25" t="n">
        <v>46213</v>
      </c>
      <c r="B204" s="26" t="s">
        <v>17</v>
      </c>
      <c r="C204" s="26" t="s">
        <v>73</v>
      </c>
      <c r="D204" s="26" t="s">
        <v>30</v>
      </c>
      <c r="E204" s="26" t="n">
        <v>29</v>
      </c>
    </row>
    <row r="205" customFormat="false" ht="15" hidden="false" customHeight="false" outlineLevel="0" collapsed="false">
      <c r="A205" s="25" t="n">
        <v>46213</v>
      </c>
      <c r="B205" s="26" t="s">
        <v>17</v>
      </c>
      <c r="C205" s="26" t="s">
        <v>73</v>
      </c>
      <c r="D205" s="26" t="s">
        <v>26</v>
      </c>
      <c r="E205" s="26" t="n">
        <v>64</v>
      </c>
    </row>
    <row r="206" customFormat="false" ht="15" hidden="false" customHeight="false" outlineLevel="0" collapsed="false">
      <c r="A206" s="25" t="n">
        <v>46213</v>
      </c>
      <c r="B206" s="26" t="s">
        <v>18</v>
      </c>
      <c r="C206" s="26" t="s">
        <v>72</v>
      </c>
      <c r="D206" s="26" t="s">
        <v>31</v>
      </c>
      <c r="E206" s="26" t="n">
        <v>32</v>
      </c>
    </row>
    <row r="207" customFormat="false" ht="15" hidden="false" customHeight="false" outlineLevel="0" collapsed="false">
      <c r="A207" s="25" t="n">
        <v>46213</v>
      </c>
      <c r="B207" s="26" t="s">
        <v>18</v>
      </c>
      <c r="C207" s="26" t="s">
        <v>73</v>
      </c>
      <c r="D207" s="26" t="s">
        <v>27</v>
      </c>
      <c r="E207" s="26" t="n">
        <v>33</v>
      </c>
    </row>
    <row r="208" customFormat="false" ht="15" hidden="false" customHeight="false" outlineLevel="0" collapsed="false">
      <c r="A208" s="25" t="n">
        <v>46213</v>
      </c>
      <c r="B208" s="26" t="s">
        <v>18</v>
      </c>
      <c r="C208" s="26" t="s">
        <v>73</v>
      </c>
      <c r="D208" s="26" t="s">
        <v>32</v>
      </c>
      <c r="E208" s="26" t="n">
        <v>10</v>
      </c>
    </row>
    <row r="209" customFormat="false" ht="15" hidden="false" customHeight="false" outlineLevel="0" collapsed="false">
      <c r="A209" s="25" t="n">
        <v>46213</v>
      </c>
      <c r="B209" s="26" t="s">
        <v>18</v>
      </c>
      <c r="C209" s="26" t="s">
        <v>73</v>
      </c>
      <c r="D209" s="26" t="s">
        <v>29</v>
      </c>
      <c r="E209" s="26" t="n">
        <v>16</v>
      </c>
    </row>
    <row r="210" customFormat="false" ht="15" hidden="false" customHeight="false" outlineLevel="0" collapsed="false">
      <c r="A210" s="25" t="n">
        <v>46213</v>
      </c>
      <c r="B210" s="26" t="s">
        <v>18</v>
      </c>
      <c r="C210" s="26" t="s">
        <v>73</v>
      </c>
      <c r="D210" s="26" t="s">
        <v>26</v>
      </c>
      <c r="E210" s="26" t="n">
        <v>33</v>
      </c>
    </row>
    <row r="211" customFormat="false" ht="15" hidden="false" customHeight="false" outlineLevel="0" collapsed="false">
      <c r="A211" s="25" t="n">
        <v>46213</v>
      </c>
      <c r="B211" s="26" t="s">
        <v>18</v>
      </c>
      <c r="C211" s="26" t="s">
        <v>74</v>
      </c>
      <c r="D211" s="26" t="s">
        <v>26</v>
      </c>
      <c r="E211" s="26" t="n">
        <v>21</v>
      </c>
    </row>
    <row r="212" customFormat="false" ht="15" hidden="false" customHeight="false" outlineLevel="0" collapsed="false">
      <c r="A212" s="25" t="n">
        <v>46213</v>
      </c>
      <c r="B212" s="26" t="s">
        <v>18</v>
      </c>
      <c r="C212" s="26" t="s">
        <v>74</v>
      </c>
      <c r="D212" s="26" t="s">
        <v>32</v>
      </c>
      <c r="E212" s="26" t="n">
        <v>38</v>
      </c>
    </row>
    <row r="213" customFormat="false" ht="15" hidden="false" customHeight="false" outlineLevel="0" collapsed="false">
      <c r="A213" s="25" t="n">
        <v>46213</v>
      </c>
      <c r="B213" s="26" t="s">
        <v>18</v>
      </c>
      <c r="C213" s="26" t="s">
        <v>74</v>
      </c>
      <c r="D213" s="26" t="s">
        <v>31</v>
      </c>
      <c r="E213" s="26" t="n">
        <v>42</v>
      </c>
    </row>
    <row r="214" customFormat="false" ht="15" hidden="false" customHeight="false" outlineLevel="0" collapsed="false">
      <c r="A214" s="25" t="n">
        <v>46213</v>
      </c>
      <c r="B214" s="26" t="s">
        <v>18</v>
      </c>
      <c r="C214" s="26" t="s">
        <v>74</v>
      </c>
      <c r="D214" s="26" t="s">
        <v>27</v>
      </c>
      <c r="E214" s="26" t="n">
        <v>27</v>
      </c>
    </row>
    <row r="215" customFormat="false" ht="15" hidden="false" customHeight="false" outlineLevel="0" collapsed="false">
      <c r="A215" s="25" t="n">
        <v>46214</v>
      </c>
      <c r="B215" s="26" t="s">
        <v>16</v>
      </c>
      <c r="C215" s="26" t="s">
        <v>72</v>
      </c>
      <c r="D215" s="26" t="s">
        <v>31</v>
      </c>
      <c r="E215" s="26" t="n">
        <v>48</v>
      </c>
    </row>
    <row r="216" customFormat="false" ht="15" hidden="false" customHeight="false" outlineLevel="0" collapsed="false">
      <c r="A216" s="25" t="n">
        <v>46214</v>
      </c>
      <c r="B216" s="26" t="s">
        <v>16</v>
      </c>
      <c r="C216" s="26" t="s">
        <v>72</v>
      </c>
      <c r="D216" s="26" t="s">
        <v>27</v>
      </c>
      <c r="E216" s="26" t="n">
        <v>30</v>
      </c>
    </row>
    <row r="217" customFormat="false" ht="15" hidden="false" customHeight="false" outlineLevel="0" collapsed="false">
      <c r="A217" s="25" t="n">
        <v>46214</v>
      </c>
      <c r="B217" s="26" t="s">
        <v>16</v>
      </c>
      <c r="C217" s="26" t="s">
        <v>74</v>
      </c>
      <c r="D217" s="26" t="s">
        <v>28</v>
      </c>
      <c r="E217" s="26" t="n">
        <v>42</v>
      </c>
    </row>
    <row r="218" customFormat="false" ht="15" hidden="false" customHeight="false" outlineLevel="0" collapsed="false">
      <c r="A218" s="25" t="n">
        <v>46214</v>
      </c>
      <c r="B218" s="26" t="s">
        <v>17</v>
      </c>
      <c r="C218" s="26" t="s">
        <v>72</v>
      </c>
      <c r="D218" s="26" t="s">
        <v>27</v>
      </c>
      <c r="E218" s="26" t="n">
        <v>51</v>
      </c>
    </row>
    <row r="219" customFormat="false" ht="15" hidden="false" customHeight="false" outlineLevel="0" collapsed="false">
      <c r="A219" s="25" t="n">
        <v>46214</v>
      </c>
      <c r="B219" s="26" t="s">
        <v>17</v>
      </c>
      <c r="C219" s="26" t="s">
        <v>72</v>
      </c>
      <c r="D219" s="26" t="s">
        <v>28</v>
      </c>
      <c r="E219" s="26" t="n">
        <v>92</v>
      </c>
    </row>
    <row r="220" customFormat="false" ht="15" hidden="false" customHeight="false" outlineLevel="0" collapsed="false">
      <c r="A220" s="25" t="n">
        <v>46214</v>
      </c>
      <c r="B220" s="26" t="s">
        <v>17</v>
      </c>
      <c r="C220" s="26" t="s">
        <v>73</v>
      </c>
      <c r="D220" s="26" t="s">
        <v>28</v>
      </c>
      <c r="E220" s="26" t="n">
        <v>31</v>
      </c>
    </row>
    <row r="221" customFormat="false" ht="15" hidden="false" customHeight="false" outlineLevel="0" collapsed="false">
      <c r="A221" s="25" t="n">
        <v>46214</v>
      </c>
      <c r="B221" s="26" t="s">
        <v>17</v>
      </c>
      <c r="C221" s="26" t="s">
        <v>74</v>
      </c>
      <c r="D221" s="26" t="s">
        <v>27</v>
      </c>
      <c r="E221" s="26" t="n">
        <v>17</v>
      </c>
    </row>
    <row r="222" customFormat="false" ht="15" hidden="false" customHeight="false" outlineLevel="0" collapsed="false">
      <c r="A222" s="25" t="n">
        <v>46214</v>
      </c>
      <c r="B222" s="26" t="s">
        <v>18</v>
      </c>
      <c r="C222" s="26" t="s">
        <v>73</v>
      </c>
      <c r="D222" s="26" t="s">
        <v>31</v>
      </c>
      <c r="E222" s="26" t="n">
        <v>59</v>
      </c>
    </row>
    <row r="223" customFormat="false" ht="15" hidden="false" customHeight="false" outlineLevel="0" collapsed="false">
      <c r="A223" s="25" t="n">
        <v>46214</v>
      </c>
      <c r="B223" s="26" t="s">
        <v>18</v>
      </c>
      <c r="C223" s="26" t="s">
        <v>73</v>
      </c>
      <c r="D223" s="26" t="s">
        <v>28</v>
      </c>
      <c r="E223" s="26" t="n">
        <v>60</v>
      </c>
    </row>
    <row r="224" customFormat="false" ht="15" hidden="false" customHeight="false" outlineLevel="0" collapsed="false">
      <c r="A224" s="25" t="n">
        <v>46214</v>
      </c>
      <c r="B224" s="26" t="s">
        <v>18</v>
      </c>
      <c r="C224" s="26" t="s">
        <v>73</v>
      </c>
      <c r="D224" s="26" t="s">
        <v>31</v>
      </c>
      <c r="E224" s="26" t="n">
        <v>35</v>
      </c>
    </row>
    <row r="225" customFormat="false" ht="15" hidden="false" customHeight="false" outlineLevel="0" collapsed="false">
      <c r="A225" s="25" t="n">
        <v>46214</v>
      </c>
      <c r="B225" s="26" t="s">
        <v>18</v>
      </c>
      <c r="C225" s="26" t="s">
        <v>74</v>
      </c>
      <c r="D225" s="26" t="s">
        <v>30</v>
      </c>
      <c r="E225" s="26" t="n">
        <v>40</v>
      </c>
    </row>
    <row r="226" customFormat="false" ht="15" hidden="false" customHeight="false" outlineLevel="0" collapsed="false">
      <c r="A226" s="25" t="n">
        <v>46214</v>
      </c>
      <c r="B226" s="26" t="s">
        <v>18</v>
      </c>
      <c r="C226" s="26" t="s">
        <v>74</v>
      </c>
      <c r="D226" s="26" t="s">
        <v>27</v>
      </c>
      <c r="E226" s="26" t="n">
        <v>33</v>
      </c>
    </row>
    <row r="227" customFormat="false" ht="15" hidden="false" customHeight="false" outlineLevel="0" collapsed="false">
      <c r="A227" s="25" t="n">
        <v>46214</v>
      </c>
      <c r="B227" s="26" t="s">
        <v>18</v>
      </c>
      <c r="C227" s="26" t="s">
        <v>74</v>
      </c>
      <c r="D227" s="26" t="s">
        <v>26</v>
      </c>
      <c r="E227" s="26" t="n">
        <v>34</v>
      </c>
    </row>
    <row r="228" customFormat="false" ht="15" hidden="false" customHeight="false" outlineLevel="0" collapsed="false">
      <c r="A228" s="25" t="n">
        <v>46214</v>
      </c>
      <c r="B228" s="26" t="s">
        <v>18</v>
      </c>
      <c r="C228" s="26" t="s">
        <v>74</v>
      </c>
      <c r="D228" s="26" t="s">
        <v>29</v>
      </c>
      <c r="E228" s="26" t="n">
        <v>6</v>
      </c>
    </row>
    <row r="229" customFormat="false" ht="15" hidden="false" customHeight="false" outlineLevel="0" collapsed="false">
      <c r="A229" s="25" t="n">
        <v>46215</v>
      </c>
      <c r="B229" s="26" t="s">
        <v>16</v>
      </c>
      <c r="C229" s="26" t="s">
        <v>72</v>
      </c>
      <c r="D229" s="26" t="s">
        <v>32</v>
      </c>
      <c r="E229" s="26" t="n">
        <v>8</v>
      </c>
    </row>
    <row r="230" customFormat="false" ht="15" hidden="false" customHeight="false" outlineLevel="0" collapsed="false">
      <c r="A230" s="25" t="n">
        <v>46215</v>
      </c>
      <c r="B230" s="26" t="s">
        <v>16</v>
      </c>
      <c r="C230" s="26" t="s">
        <v>72</v>
      </c>
      <c r="D230" s="26" t="s">
        <v>31</v>
      </c>
      <c r="E230" s="26" t="n">
        <v>45</v>
      </c>
    </row>
    <row r="231" customFormat="false" ht="15" hidden="false" customHeight="false" outlineLevel="0" collapsed="false">
      <c r="A231" s="25" t="n">
        <v>46215</v>
      </c>
      <c r="B231" s="26" t="s">
        <v>16</v>
      </c>
      <c r="C231" s="26" t="s">
        <v>72</v>
      </c>
      <c r="D231" s="26" t="s">
        <v>29</v>
      </c>
      <c r="E231" s="26" t="n">
        <v>17</v>
      </c>
    </row>
    <row r="232" customFormat="false" ht="15" hidden="false" customHeight="false" outlineLevel="0" collapsed="false">
      <c r="A232" s="25" t="n">
        <v>46215</v>
      </c>
      <c r="B232" s="26" t="s">
        <v>16</v>
      </c>
      <c r="C232" s="26" t="s">
        <v>73</v>
      </c>
      <c r="D232" s="26" t="s">
        <v>26</v>
      </c>
      <c r="E232" s="26" t="n">
        <v>47</v>
      </c>
    </row>
    <row r="233" customFormat="false" ht="15" hidden="false" customHeight="false" outlineLevel="0" collapsed="false">
      <c r="A233" s="25" t="n">
        <v>46215</v>
      </c>
      <c r="B233" s="26" t="s">
        <v>17</v>
      </c>
      <c r="C233" s="26" t="s">
        <v>72</v>
      </c>
      <c r="D233" s="26" t="s">
        <v>27</v>
      </c>
      <c r="E233" s="26" t="n">
        <v>15</v>
      </c>
    </row>
    <row r="234" customFormat="false" ht="15" hidden="false" customHeight="false" outlineLevel="0" collapsed="false">
      <c r="A234" s="25" t="n">
        <v>46215</v>
      </c>
      <c r="B234" s="26" t="s">
        <v>17</v>
      </c>
      <c r="C234" s="26" t="s">
        <v>72</v>
      </c>
      <c r="D234" s="26" t="s">
        <v>28</v>
      </c>
      <c r="E234" s="26" t="n">
        <v>53</v>
      </c>
    </row>
    <row r="235" customFormat="false" ht="15" hidden="false" customHeight="false" outlineLevel="0" collapsed="false">
      <c r="A235" s="25" t="n">
        <v>46215</v>
      </c>
      <c r="B235" s="26" t="s">
        <v>17</v>
      </c>
      <c r="C235" s="26" t="s">
        <v>73</v>
      </c>
      <c r="D235" s="26" t="s">
        <v>30</v>
      </c>
      <c r="E235" s="26" t="n">
        <v>36</v>
      </c>
    </row>
    <row r="236" customFormat="false" ht="15" hidden="false" customHeight="false" outlineLevel="0" collapsed="false">
      <c r="A236" s="25" t="n">
        <v>46215</v>
      </c>
      <c r="B236" s="26" t="s">
        <v>17</v>
      </c>
      <c r="C236" s="26" t="s">
        <v>73</v>
      </c>
      <c r="D236" s="26" t="s">
        <v>27</v>
      </c>
      <c r="E236" s="26" t="n">
        <v>26</v>
      </c>
    </row>
    <row r="237" customFormat="false" ht="15" hidden="false" customHeight="false" outlineLevel="0" collapsed="false">
      <c r="A237" s="25" t="n">
        <v>46215</v>
      </c>
      <c r="B237" s="26" t="s">
        <v>17</v>
      </c>
      <c r="C237" s="26" t="s">
        <v>73</v>
      </c>
      <c r="D237" s="26" t="s">
        <v>28</v>
      </c>
      <c r="E237" s="26" t="n">
        <v>11</v>
      </c>
    </row>
    <row r="238" customFormat="false" ht="15" hidden="false" customHeight="false" outlineLevel="0" collapsed="false">
      <c r="A238" s="25" t="n">
        <v>46215</v>
      </c>
      <c r="B238" s="26" t="s">
        <v>18</v>
      </c>
      <c r="C238" s="26" t="s">
        <v>74</v>
      </c>
      <c r="D238" s="26" t="s">
        <v>30</v>
      </c>
      <c r="E238" s="26" t="n">
        <v>39</v>
      </c>
    </row>
    <row r="239" customFormat="false" ht="15" hidden="false" customHeight="false" outlineLevel="0" collapsed="false">
      <c r="A239" s="25" t="n">
        <v>46216</v>
      </c>
      <c r="B239" s="26" t="s">
        <v>16</v>
      </c>
      <c r="C239" s="26" t="s">
        <v>72</v>
      </c>
      <c r="D239" s="26" t="s">
        <v>27</v>
      </c>
      <c r="E239" s="26" t="n">
        <v>27</v>
      </c>
    </row>
    <row r="240" customFormat="false" ht="15" hidden="false" customHeight="false" outlineLevel="0" collapsed="false">
      <c r="A240" s="25" t="n">
        <v>46216</v>
      </c>
      <c r="B240" s="26" t="s">
        <v>16</v>
      </c>
      <c r="C240" s="26" t="s">
        <v>72</v>
      </c>
      <c r="D240" s="26" t="s">
        <v>26</v>
      </c>
      <c r="E240" s="26" t="n">
        <v>47</v>
      </c>
    </row>
    <row r="241" customFormat="false" ht="15" hidden="false" customHeight="false" outlineLevel="0" collapsed="false">
      <c r="A241" s="25" t="n">
        <v>46216</v>
      </c>
      <c r="B241" s="26" t="s">
        <v>16</v>
      </c>
      <c r="C241" s="26" t="s">
        <v>72</v>
      </c>
      <c r="D241" s="26" t="s">
        <v>30</v>
      </c>
      <c r="E241" s="26" t="n">
        <v>42</v>
      </c>
    </row>
    <row r="242" customFormat="false" ht="15" hidden="false" customHeight="false" outlineLevel="0" collapsed="false">
      <c r="A242" s="25" t="n">
        <v>46216</v>
      </c>
      <c r="B242" s="26" t="s">
        <v>16</v>
      </c>
      <c r="C242" s="26" t="s">
        <v>73</v>
      </c>
      <c r="D242" s="26" t="s">
        <v>30</v>
      </c>
      <c r="E242" s="26" t="n">
        <v>22</v>
      </c>
    </row>
    <row r="243" customFormat="false" ht="15" hidden="false" customHeight="false" outlineLevel="0" collapsed="false">
      <c r="A243" s="25" t="n">
        <v>46216</v>
      </c>
      <c r="B243" s="26" t="s">
        <v>16</v>
      </c>
      <c r="C243" s="26" t="s">
        <v>73</v>
      </c>
      <c r="D243" s="26" t="s">
        <v>29</v>
      </c>
      <c r="E243" s="26" t="n">
        <v>9</v>
      </c>
    </row>
    <row r="244" customFormat="false" ht="15" hidden="false" customHeight="false" outlineLevel="0" collapsed="false">
      <c r="A244" s="25" t="n">
        <v>46216</v>
      </c>
      <c r="B244" s="26" t="s">
        <v>16</v>
      </c>
      <c r="C244" s="26" t="s">
        <v>74</v>
      </c>
      <c r="D244" s="26" t="s">
        <v>31</v>
      </c>
      <c r="E244" s="26" t="n">
        <v>61</v>
      </c>
    </row>
    <row r="245" customFormat="false" ht="15" hidden="false" customHeight="false" outlineLevel="0" collapsed="false">
      <c r="A245" s="25" t="n">
        <v>46216</v>
      </c>
      <c r="B245" s="26" t="s">
        <v>16</v>
      </c>
      <c r="C245" s="26" t="s">
        <v>74</v>
      </c>
      <c r="D245" s="26" t="s">
        <v>29</v>
      </c>
      <c r="E245" s="26" t="n">
        <v>13</v>
      </c>
    </row>
    <row r="246" customFormat="false" ht="15" hidden="false" customHeight="false" outlineLevel="0" collapsed="false">
      <c r="A246" s="25" t="n">
        <v>46216</v>
      </c>
      <c r="B246" s="26" t="s">
        <v>17</v>
      </c>
      <c r="C246" s="26" t="s">
        <v>73</v>
      </c>
      <c r="D246" s="26" t="s">
        <v>26</v>
      </c>
      <c r="E246" s="26" t="n">
        <v>26</v>
      </c>
    </row>
    <row r="247" customFormat="false" ht="15" hidden="false" customHeight="false" outlineLevel="0" collapsed="false">
      <c r="A247" s="25" t="n">
        <v>46216</v>
      </c>
      <c r="B247" s="26" t="s">
        <v>17</v>
      </c>
      <c r="C247" s="26" t="s">
        <v>74</v>
      </c>
      <c r="D247" s="26" t="s">
        <v>28</v>
      </c>
      <c r="E247" s="26" t="n">
        <v>37</v>
      </c>
    </row>
    <row r="248" customFormat="false" ht="15" hidden="false" customHeight="false" outlineLevel="0" collapsed="false">
      <c r="A248" s="25" t="n">
        <v>46216</v>
      </c>
      <c r="B248" s="26" t="s">
        <v>17</v>
      </c>
      <c r="C248" s="26" t="s">
        <v>74</v>
      </c>
      <c r="D248" s="26" t="s">
        <v>26</v>
      </c>
      <c r="E248" s="26" t="n">
        <v>73</v>
      </c>
    </row>
    <row r="249" customFormat="false" ht="15" hidden="false" customHeight="false" outlineLevel="0" collapsed="false">
      <c r="A249" s="25" t="n">
        <v>46216</v>
      </c>
      <c r="B249" s="26" t="s">
        <v>17</v>
      </c>
      <c r="C249" s="26" t="s">
        <v>74</v>
      </c>
      <c r="D249" s="26" t="s">
        <v>26</v>
      </c>
      <c r="E249" s="26" t="n">
        <v>20</v>
      </c>
    </row>
    <row r="250" customFormat="false" ht="15" hidden="false" customHeight="false" outlineLevel="0" collapsed="false">
      <c r="A250" s="25" t="n">
        <v>46216</v>
      </c>
      <c r="B250" s="26" t="s">
        <v>17</v>
      </c>
      <c r="C250" s="26" t="s">
        <v>74</v>
      </c>
      <c r="D250" s="26" t="s">
        <v>28</v>
      </c>
      <c r="E250" s="26" t="n">
        <v>34</v>
      </c>
    </row>
    <row r="251" customFormat="false" ht="15" hidden="false" customHeight="false" outlineLevel="0" collapsed="false">
      <c r="A251" s="25" t="n">
        <v>46216</v>
      </c>
      <c r="B251" s="26" t="s">
        <v>18</v>
      </c>
      <c r="C251" s="26" t="s">
        <v>72</v>
      </c>
      <c r="D251" s="26" t="s">
        <v>26</v>
      </c>
      <c r="E251" s="26" t="n">
        <v>35</v>
      </c>
    </row>
    <row r="252" customFormat="false" ht="15" hidden="false" customHeight="false" outlineLevel="0" collapsed="false">
      <c r="A252" s="25" t="n">
        <v>46216</v>
      </c>
      <c r="B252" s="26" t="s">
        <v>18</v>
      </c>
      <c r="C252" s="26" t="s">
        <v>73</v>
      </c>
      <c r="D252" s="26" t="s">
        <v>29</v>
      </c>
      <c r="E252" s="26" t="n">
        <v>21</v>
      </c>
    </row>
    <row r="253" customFormat="false" ht="15" hidden="false" customHeight="false" outlineLevel="0" collapsed="false">
      <c r="A253" s="25" t="n">
        <v>46216</v>
      </c>
      <c r="B253" s="26" t="s">
        <v>18</v>
      </c>
      <c r="C253" s="26" t="s">
        <v>73</v>
      </c>
      <c r="D253" s="26" t="s">
        <v>26</v>
      </c>
      <c r="E253" s="26" t="n">
        <v>97</v>
      </c>
    </row>
    <row r="254" customFormat="false" ht="15" hidden="false" customHeight="false" outlineLevel="0" collapsed="false">
      <c r="A254" s="25" t="n">
        <v>46216</v>
      </c>
      <c r="B254" s="26" t="s">
        <v>18</v>
      </c>
      <c r="C254" s="26" t="s">
        <v>74</v>
      </c>
      <c r="D254" s="26" t="s">
        <v>31</v>
      </c>
      <c r="E254" s="26" t="n">
        <v>32</v>
      </c>
    </row>
    <row r="255" customFormat="false" ht="15" hidden="false" customHeight="false" outlineLevel="0" collapsed="false">
      <c r="A255" s="25" t="n">
        <v>46217</v>
      </c>
      <c r="B255" s="26" t="s">
        <v>16</v>
      </c>
      <c r="C255" s="26" t="s">
        <v>72</v>
      </c>
      <c r="D255" s="26" t="s">
        <v>29</v>
      </c>
      <c r="E255" s="26" t="n">
        <v>26</v>
      </c>
    </row>
    <row r="256" customFormat="false" ht="15" hidden="false" customHeight="false" outlineLevel="0" collapsed="false">
      <c r="A256" s="25" t="n">
        <v>46217</v>
      </c>
      <c r="B256" s="26" t="s">
        <v>16</v>
      </c>
      <c r="C256" s="26" t="s">
        <v>73</v>
      </c>
      <c r="D256" s="26" t="s">
        <v>26</v>
      </c>
      <c r="E256" s="26" t="n">
        <v>42</v>
      </c>
    </row>
    <row r="257" customFormat="false" ht="15" hidden="false" customHeight="false" outlineLevel="0" collapsed="false">
      <c r="A257" s="25" t="n">
        <v>46217</v>
      </c>
      <c r="B257" s="26" t="s">
        <v>16</v>
      </c>
      <c r="C257" s="26" t="s">
        <v>73</v>
      </c>
      <c r="D257" s="26" t="s">
        <v>30</v>
      </c>
      <c r="E257" s="26" t="n">
        <v>35</v>
      </c>
    </row>
    <row r="258" customFormat="false" ht="15" hidden="false" customHeight="false" outlineLevel="0" collapsed="false">
      <c r="A258" s="25" t="n">
        <v>46217</v>
      </c>
      <c r="B258" s="26" t="s">
        <v>16</v>
      </c>
      <c r="C258" s="26" t="s">
        <v>73</v>
      </c>
      <c r="D258" s="26" t="s">
        <v>28</v>
      </c>
      <c r="E258" s="26" t="n">
        <v>37</v>
      </c>
    </row>
    <row r="259" customFormat="false" ht="15" hidden="false" customHeight="false" outlineLevel="0" collapsed="false">
      <c r="A259" s="25" t="n">
        <v>46217</v>
      </c>
      <c r="B259" s="26" t="s">
        <v>17</v>
      </c>
      <c r="C259" s="26" t="s">
        <v>72</v>
      </c>
      <c r="D259" s="26" t="s">
        <v>27</v>
      </c>
      <c r="E259" s="26" t="n">
        <v>28</v>
      </c>
    </row>
    <row r="260" customFormat="false" ht="15" hidden="false" customHeight="false" outlineLevel="0" collapsed="false">
      <c r="A260" s="25" t="n">
        <v>46217</v>
      </c>
      <c r="B260" s="26" t="s">
        <v>17</v>
      </c>
      <c r="C260" s="26" t="s">
        <v>73</v>
      </c>
      <c r="D260" s="26" t="s">
        <v>29</v>
      </c>
      <c r="E260" s="26" t="n">
        <v>12</v>
      </c>
    </row>
    <row r="261" customFormat="false" ht="15" hidden="false" customHeight="false" outlineLevel="0" collapsed="false">
      <c r="A261" s="25" t="n">
        <v>46217</v>
      </c>
      <c r="B261" s="26" t="s">
        <v>17</v>
      </c>
      <c r="C261" s="26" t="s">
        <v>73</v>
      </c>
      <c r="D261" s="26" t="s">
        <v>32</v>
      </c>
      <c r="E261" s="26" t="n">
        <v>14</v>
      </c>
    </row>
    <row r="262" customFormat="false" ht="15" hidden="false" customHeight="false" outlineLevel="0" collapsed="false">
      <c r="A262" s="25" t="n">
        <v>46217</v>
      </c>
      <c r="B262" s="26" t="s">
        <v>17</v>
      </c>
      <c r="C262" s="26" t="s">
        <v>73</v>
      </c>
      <c r="D262" s="26" t="s">
        <v>26</v>
      </c>
      <c r="E262" s="26" t="n">
        <v>27</v>
      </c>
    </row>
    <row r="263" customFormat="false" ht="15" hidden="false" customHeight="false" outlineLevel="0" collapsed="false">
      <c r="A263" s="25" t="n">
        <v>46217</v>
      </c>
      <c r="B263" s="26" t="s">
        <v>17</v>
      </c>
      <c r="C263" s="26" t="s">
        <v>73</v>
      </c>
      <c r="D263" s="26" t="s">
        <v>26</v>
      </c>
      <c r="E263" s="26" t="n">
        <v>119</v>
      </c>
    </row>
    <row r="264" customFormat="false" ht="15" hidden="false" customHeight="false" outlineLevel="0" collapsed="false">
      <c r="A264" s="25" t="n">
        <v>46217</v>
      </c>
      <c r="B264" s="26" t="s">
        <v>17</v>
      </c>
      <c r="C264" s="26" t="s">
        <v>73</v>
      </c>
      <c r="D264" s="26" t="s">
        <v>28</v>
      </c>
      <c r="E264" s="26" t="n">
        <v>44</v>
      </c>
    </row>
    <row r="265" customFormat="false" ht="15" hidden="false" customHeight="false" outlineLevel="0" collapsed="false">
      <c r="A265" s="25" t="n">
        <v>46217</v>
      </c>
      <c r="B265" s="26" t="s">
        <v>17</v>
      </c>
      <c r="C265" s="26" t="s">
        <v>74</v>
      </c>
      <c r="D265" s="26" t="s">
        <v>30</v>
      </c>
      <c r="E265" s="26" t="n">
        <v>77</v>
      </c>
    </row>
    <row r="266" customFormat="false" ht="15" hidden="false" customHeight="false" outlineLevel="0" collapsed="false">
      <c r="A266" s="25" t="n">
        <v>46217</v>
      </c>
      <c r="B266" s="26" t="s">
        <v>17</v>
      </c>
      <c r="C266" s="26" t="s">
        <v>74</v>
      </c>
      <c r="D266" s="26" t="s">
        <v>26</v>
      </c>
      <c r="E266" s="26" t="n">
        <v>17</v>
      </c>
    </row>
    <row r="267" customFormat="false" ht="15" hidden="false" customHeight="false" outlineLevel="0" collapsed="false">
      <c r="A267" s="25" t="n">
        <v>46217</v>
      </c>
      <c r="B267" s="26" t="s">
        <v>18</v>
      </c>
      <c r="C267" s="26" t="s">
        <v>72</v>
      </c>
      <c r="D267" s="26" t="s">
        <v>27</v>
      </c>
      <c r="E267" s="26" t="n">
        <v>9</v>
      </c>
    </row>
    <row r="268" customFormat="false" ht="15" hidden="false" customHeight="false" outlineLevel="0" collapsed="false">
      <c r="A268" s="25" t="n">
        <v>46217</v>
      </c>
      <c r="B268" s="26" t="s">
        <v>18</v>
      </c>
      <c r="C268" s="26" t="s">
        <v>72</v>
      </c>
      <c r="D268" s="26" t="s">
        <v>32</v>
      </c>
      <c r="E268" s="26" t="n">
        <v>16</v>
      </c>
    </row>
    <row r="269" customFormat="false" ht="15" hidden="false" customHeight="false" outlineLevel="0" collapsed="false">
      <c r="A269" s="25" t="n">
        <v>46217</v>
      </c>
      <c r="B269" s="26" t="s">
        <v>18</v>
      </c>
      <c r="C269" s="26" t="s">
        <v>72</v>
      </c>
      <c r="D269" s="26" t="s">
        <v>28</v>
      </c>
      <c r="E269" s="26" t="n">
        <v>20</v>
      </c>
    </row>
    <row r="270" customFormat="false" ht="15" hidden="false" customHeight="false" outlineLevel="0" collapsed="false">
      <c r="A270" s="25" t="n">
        <v>46217</v>
      </c>
      <c r="B270" s="26" t="s">
        <v>18</v>
      </c>
      <c r="C270" s="26" t="s">
        <v>73</v>
      </c>
      <c r="D270" s="26" t="s">
        <v>26</v>
      </c>
      <c r="E270" s="26" t="n">
        <v>79</v>
      </c>
    </row>
    <row r="271" customFormat="false" ht="15" hidden="false" customHeight="false" outlineLevel="0" collapsed="false">
      <c r="A271" s="25" t="n">
        <v>46217</v>
      </c>
      <c r="B271" s="26" t="s">
        <v>18</v>
      </c>
      <c r="C271" s="26" t="s">
        <v>73</v>
      </c>
      <c r="D271" s="26" t="s">
        <v>29</v>
      </c>
      <c r="E271" s="26" t="n">
        <v>15</v>
      </c>
    </row>
    <row r="272" customFormat="false" ht="15" hidden="false" customHeight="false" outlineLevel="0" collapsed="false">
      <c r="A272" s="25" t="n">
        <v>46217</v>
      </c>
      <c r="B272" s="26" t="s">
        <v>18</v>
      </c>
      <c r="C272" s="26" t="s">
        <v>73</v>
      </c>
      <c r="D272" s="26" t="s">
        <v>31</v>
      </c>
      <c r="E272" s="26" t="n">
        <v>40</v>
      </c>
    </row>
    <row r="273" customFormat="false" ht="15" hidden="false" customHeight="false" outlineLevel="0" collapsed="false">
      <c r="A273" s="25" t="n">
        <v>46218</v>
      </c>
      <c r="B273" s="26" t="s">
        <v>16</v>
      </c>
      <c r="C273" s="26" t="s">
        <v>72</v>
      </c>
      <c r="D273" s="26" t="s">
        <v>29</v>
      </c>
      <c r="E273" s="26" t="n">
        <v>20</v>
      </c>
    </row>
    <row r="274" customFormat="false" ht="15" hidden="false" customHeight="false" outlineLevel="0" collapsed="false">
      <c r="A274" s="25" t="n">
        <v>46218</v>
      </c>
      <c r="B274" s="26" t="s">
        <v>16</v>
      </c>
      <c r="C274" s="26" t="s">
        <v>73</v>
      </c>
      <c r="D274" s="26" t="s">
        <v>30</v>
      </c>
      <c r="E274" s="26" t="n">
        <v>28</v>
      </c>
    </row>
    <row r="275" customFormat="false" ht="15" hidden="false" customHeight="false" outlineLevel="0" collapsed="false">
      <c r="A275" s="25" t="n">
        <v>46218</v>
      </c>
      <c r="B275" s="26" t="s">
        <v>16</v>
      </c>
      <c r="C275" s="26" t="s">
        <v>73</v>
      </c>
      <c r="D275" s="26" t="s">
        <v>27</v>
      </c>
      <c r="E275" s="26" t="n">
        <v>41</v>
      </c>
    </row>
    <row r="276" customFormat="false" ht="15" hidden="false" customHeight="false" outlineLevel="0" collapsed="false">
      <c r="A276" s="25" t="n">
        <v>46218</v>
      </c>
      <c r="B276" s="26" t="s">
        <v>16</v>
      </c>
      <c r="C276" s="26" t="s">
        <v>73</v>
      </c>
      <c r="D276" s="26" t="s">
        <v>28</v>
      </c>
      <c r="E276" s="26" t="n">
        <v>46</v>
      </c>
    </row>
    <row r="277" customFormat="false" ht="15" hidden="false" customHeight="false" outlineLevel="0" collapsed="false">
      <c r="A277" s="25" t="n">
        <v>46218</v>
      </c>
      <c r="B277" s="26" t="s">
        <v>16</v>
      </c>
      <c r="C277" s="26" t="s">
        <v>74</v>
      </c>
      <c r="D277" s="26" t="s">
        <v>26</v>
      </c>
      <c r="E277" s="26" t="n">
        <v>55</v>
      </c>
    </row>
    <row r="278" customFormat="false" ht="15" hidden="false" customHeight="false" outlineLevel="0" collapsed="false">
      <c r="A278" s="25" t="n">
        <v>46218</v>
      </c>
      <c r="B278" s="26" t="s">
        <v>16</v>
      </c>
      <c r="C278" s="26" t="s">
        <v>74</v>
      </c>
      <c r="D278" s="26" t="s">
        <v>26</v>
      </c>
      <c r="E278" s="26" t="n">
        <v>34</v>
      </c>
    </row>
    <row r="279" customFormat="false" ht="15" hidden="false" customHeight="false" outlineLevel="0" collapsed="false">
      <c r="A279" s="25" t="n">
        <v>46218</v>
      </c>
      <c r="B279" s="26" t="s">
        <v>16</v>
      </c>
      <c r="C279" s="26" t="s">
        <v>74</v>
      </c>
      <c r="D279" s="26" t="s">
        <v>31</v>
      </c>
      <c r="E279" s="26" t="n">
        <v>35</v>
      </c>
    </row>
    <row r="280" customFormat="false" ht="15" hidden="false" customHeight="false" outlineLevel="0" collapsed="false">
      <c r="A280" s="25" t="n">
        <v>46218</v>
      </c>
      <c r="B280" s="26" t="s">
        <v>17</v>
      </c>
      <c r="C280" s="26" t="s">
        <v>72</v>
      </c>
      <c r="D280" s="26" t="s">
        <v>26</v>
      </c>
      <c r="E280" s="26" t="n">
        <v>34</v>
      </c>
    </row>
    <row r="281" customFormat="false" ht="15" hidden="false" customHeight="false" outlineLevel="0" collapsed="false">
      <c r="A281" s="25" t="n">
        <v>46218</v>
      </c>
      <c r="B281" s="26" t="s">
        <v>17</v>
      </c>
      <c r="C281" s="26" t="s">
        <v>73</v>
      </c>
      <c r="D281" s="26" t="s">
        <v>26</v>
      </c>
      <c r="E281" s="26" t="n">
        <v>39</v>
      </c>
    </row>
    <row r="282" customFormat="false" ht="15" hidden="false" customHeight="false" outlineLevel="0" collapsed="false">
      <c r="A282" s="25" t="n">
        <v>46218</v>
      </c>
      <c r="B282" s="26" t="s">
        <v>17</v>
      </c>
      <c r="C282" s="26" t="s">
        <v>74</v>
      </c>
      <c r="D282" s="26" t="s">
        <v>26</v>
      </c>
      <c r="E282" s="26" t="n">
        <v>30</v>
      </c>
    </row>
    <row r="283" customFormat="false" ht="15" hidden="false" customHeight="false" outlineLevel="0" collapsed="false">
      <c r="A283" s="25" t="n">
        <v>46218</v>
      </c>
      <c r="B283" s="26" t="s">
        <v>18</v>
      </c>
      <c r="C283" s="26" t="s">
        <v>72</v>
      </c>
      <c r="D283" s="26" t="s">
        <v>29</v>
      </c>
      <c r="E283" s="26" t="n">
        <v>8</v>
      </c>
    </row>
    <row r="284" customFormat="false" ht="15" hidden="false" customHeight="false" outlineLevel="0" collapsed="false">
      <c r="A284" s="25" t="n">
        <v>46218</v>
      </c>
      <c r="B284" s="26" t="s">
        <v>18</v>
      </c>
      <c r="C284" s="26" t="s">
        <v>72</v>
      </c>
      <c r="D284" s="26" t="s">
        <v>26</v>
      </c>
      <c r="E284" s="26" t="n">
        <v>41</v>
      </c>
    </row>
    <row r="285" customFormat="false" ht="15" hidden="false" customHeight="false" outlineLevel="0" collapsed="false">
      <c r="A285" s="25" t="n">
        <v>46218</v>
      </c>
      <c r="B285" s="26" t="s">
        <v>18</v>
      </c>
      <c r="C285" s="26" t="s">
        <v>72</v>
      </c>
      <c r="D285" s="26" t="s">
        <v>26</v>
      </c>
      <c r="E285" s="26" t="n">
        <v>55</v>
      </c>
    </row>
    <row r="286" customFormat="false" ht="15" hidden="false" customHeight="false" outlineLevel="0" collapsed="false">
      <c r="A286" s="25" t="n">
        <v>46218</v>
      </c>
      <c r="B286" s="26" t="s">
        <v>18</v>
      </c>
      <c r="C286" s="26" t="s">
        <v>73</v>
      </c>
      <c r="D286" s="26" t="s">
        <v>27</v>
      </c>
      <c r="E286" s="26" t="n">
        <v>6</v>
      </c>
    </row>
    <row r="287" customFormat="false" ht="15" hidden="false" customHeight="false" outlineLevel="0" collapsed="false">
      <c r="A287" s="25" t="n">
        <v>46218</v>
      </c>
      <c r="B287" s="26" t="s">
        <v>18</v>
      </c>
      <c r="C287" s="26" t="s">
        <v>73</v>
      </c>
      <c r="D287" s="26" t="s">
        <v>28</v>
      </c>
      <c r="E287" s="26" t="n">
        <v>29</v>
      </c>
    </row>
    <row r="288" customFormat="false" ht="15" hidden="false" customHeight="false" outlineLevel="0" collapsed="false">
      <c r="A288" s="25" t="n">
        <v>46218</v>
      </c>
      <c r="B288" s="26" t="s">
        <v>18</v>
      </c>
      <c r="C288" s="26" t="s">
        <v>73</v>
      </c>
      <c r="D288" s="26" t="s">
        <v>26</v>
      </c>
      <c r="E288" s="26" t="n">
        <v>39</v>
      </c>
    </row>
    <row r="289" customFormat="false" ht="15" hidden="false" customHeight="false" outlineLevel="0" collapsed="false">
      <c r="A289" s="25" t="n">
        <v>46218</v>
      </c>
      <c r="B289" s="26" t="s">
        <v>18</v>
      </c>
      <c r="C289" s="26" t="s">
        <v>73</v>
      </c>
      <c r="D289" s="26" t="s">
        <v>27</v>
      </c>
      <c r="E289" s="26" t="n">
        <v>19</v>
      </c>
    </row>
    <row r="290" customFormat="false" ht="15" hidden="false" customHeight="false" outlineLevel="0" collapsed="false">
      <c r="A290" s="25" t="n">
        <v>46218</v>
      </c>
      <c r="B290" s="26" t="s">
        <v>18</v>
      </c>
      <c r="C290" s="26" t="s">
        <v>74</v>
      </c>
      <c r="D290" s="26" t="s">
        <v>28</v>
      </c>
      <c r="E290" s="26" t="n">
        <v>70</v>
      </c>
    </row>
    <row r="291" customFormat="false" ht="15" hidden="false" customHeight="false" outlineLevel="0" collapsed="false">
      <c r="A291" s="25" t="n">
        <v>46218</v>
      </c>
      <c r="B291" s="26" t="s">
        <v>18</v>
      </c>
      <c r="C291" s="26" t="s">
        <v>74</v>
      </c>
      <c r="D291" s="26" t="s">
        <v>29</v>
      </c>
      <c r="E291" s="26" t="n">
        <v>11</v>
      </c>
    </row>
    <row r="292" customFormat="false" ht="15" hidden="false" customHeight="false" outlineLevel="0" collapsed="false">
      <c r="A292" s="25" t="n">
        <v>46218</v>
      </c>
      <c r="B292" s="26" t="s">
        <v>18</v>
      </c>
      <c r="C292" s="26" t="s">
        <v>74</v>
      </c>
      <c r="D292" s="26" t="s">
        <v>26</v>
      </c>
      <c r="E292" s="26" t="n">
        <v>51</v>
      </c>
    </row>
    <row r="293" customFormat="false" ht="15" hidden="false" customHeight="false" outlineLevel="0" collapsed="false">
      <c r="A293" s="25" t="n">
        <v>46219</v>
      </c>
      <c r="B293" s="26" t="s">
        <v>16</v>
      </c>
      <c r="C293" s="26" t="s">
        <v>72</v>
      </c>
      <c r="D293" s="26" t="s">
        <v>27</v>
      </c>
      <c r="E293" s="26" t="n">
        <v>23</v>
      </c>
    </row>
    <row r="294" customFormat="false" ht="15" hidden="false" customHeight="false" outlineLevel="0" collapsed="false">
      <c r="A294" s="25" t="n">
        <v>46219</v>
      </c>
      <c r="B294" s="26" t="s">
        <v>16</v>
      </c>
      <c r="C294" s="26" t="s">
        <v>72</v>
      </c>
      <c r="D294" s="26" t="s">
        <v>29</v>
      </c>
      <c r="E294" s="26" t="n">
        <v>28</v>
      </c>
    </row>
    <row r="295" customFormat="false" ht="15" hidden="false" customHeight="false" outlineLevel="0" collapsed="false">
      <c r="A295" s="25" t="n">
        <v>46219</v>
      </c>
      <c r="B295" s="26" t="s">
        <v>16</v>
      </c>
      <c r="C295" s="26" t="s">
        <v>72</v>
      </c>
      <c r="D295" s="26" t="s">
        <v>26</v>
      </c>
      <c r="E295" s="26" t="n">
        <v>41</v>
      </c>
    </row>
    <row r="296" customFormat="false" ht="15" hidden="false" customHeight="false" outlineLevel="0" collapsed="false">
      <c r="A296" s="25" t="n">
        <v>46219</v>
      </c>
      <c r="B296" s="26" t="s">
        <v>16</v>
      </c>
      <c r="C296" s="26" t="s">
        <v>73</v>
      </c>
      <c r="D296" s="26" t="s">
        <v>29</v>
      </c>
      <c r="E296" s="26" t="n">
        <v>31</v>
      </c>
    </row>
    <row r="297" customFormat="false" ht="15" hidden="false" customHeight="false" outlineLevel="0" collapsed="false">
      <c r="A297" s="25" t="n">
        <v>46219</v>
      </c>
      <c r="B297" s="26" t="s">
        <v>16</v>
      </c>
      <c r="C297" s="26" t="s">
        <v>73</v>
      </c>
      <c r="D297" s="26" t="s">
        <v>29</v>
      </c>
      <c r="E297" s="26" t="n">
        <v>20</v>
      </c>
    </row>
    <row r="298" customFormat="false" ht="15" hidden="false" customHeight="false" outlineLevel="0" collapsed="false">
      <c r="A298" s="25" t="n">
        <v>46219</v>
      </c>
      <c r="B298" s="26" t="s">
        <v>16</v>
      </c>
      <c r="C298" s="26" t="s">
        <v>74</v>
      </c>
      <c r="D298" s="26" t="s">
        <v>26</v>
      </c>
      <c r="E298" s="26" t="n">
        <v>47</v>
      </c>
    </row>
    <row r="299" customFormat="false" ht="15" hidden="false" customHeight="false" outlineLevel="0" collapsed="false">
      <c r="A299" s="25" t="n">
        <v>46219</v>
      </c>
      <c r="B299" s="26" t="s">
        <v>16</v>
      </c>
      <c r="C299" s="26" t="s">
        <v>74</v>
      </c>
      <c r="D299" s="26" t="s">
        <v>29</v>
      </c>
      <c r="E299" s="26" t="n">
        <v>30</v>
      </c>
    </row>
    <row r="300" customFormat="false" ht="15" hidden="false" customHeight="false" outlineLevel="0" collapsed="false">
      <c r="A300" s="25" t="n">
        <v>46219</v>
      </c>
      <c r="B300" s="26" t="s">
        <v>17</v>
      </c>
      <c r="C300" s="26" t="s">
        <v>72</v>
      </c>
      <c r="D300" s="26" t="s">
        <v>27</v>
      </c>
      <c r="E300" s="26" t="n">
        <v>29</v>
      </c>
    </row>
    <row r="301" customFormat="false" ht="15" hidden="false" customHeight="false" outlineLevel="0" collapsed="false">
      <c r="A301" s="25" t="n">
        <v>46219</v>
      </c>
      <c r="B301" s="26" t="s">
        <v>17</v>
      </c>
      <c r="C301" s="26" t="s">
        <v>72</v>
      </c>
      <c r="D301" s="26" t="s">
        <v>28</v>
      </c>
      <c r="E301" s="26" t="n">
        <v>46</v>
      </c>
    </row>
    <row r="302" customFormat="false" ht="15" hidden="false" customHeight="false" outlineLevel="0" collapsed="false">
      <c r="A302" s="25" t="n">
        <v>46219</v>
      </c>
      <c r="B302" s="26" t="s">
        <v>17</v>
      </c>
      <c r="C302" s="26" t="s">
        <v>72</v>
      </c>
      <c r="D302" s="26" t="s">
        <v>28</v>
      </c>
      <c r="E302" s="26" t="n">
        <v>38</v>
      </c>
    </row>
    <row r="303" customFormat="false" ht="15" hidden="false" customHeight="false" outlineLevel="0" collapsed="false">
      <c r="A303" s="25" t="n">
        <v>46219</v>
      </c>
      <c r="B303" s="26" t="s">
        <v>17</v>
      </c>
      <c r="C303" s="26" t="s">
        <v>72</v>
      </c>
      <c r="D303" s="26" t="s">
        <v>28</v>
      </c>
      <c r="E303" s="26" t="n">
        <v>13</v>
      </c>
    </row>
    <row r="304" customFormat="false" ht="15" hidden="false" customHeight="false" outlineLevel="0" collapsed="false">
      <c r="A304" s="25" t="n">
        <v>46219</v>
      </c>
      <c r="B304" s="26" t="s">
        <v>17</v>
      </c>
      <c r="C304" s="26" t="s">
        <v>73</v>
      </c>
      <c r="D304" s="26" t="s">
        <v>27</v>
      </c>
      <c r="E304" s="26" t="n">
        <v>16</v>
      </c>
    </row>
    <row r="305" customFormat="false" ht="15" hidden="false" customHeight="false" outlineLevel="0" collapsed="false">
      <c r="A305" s="25" t="n">
        <v>46219</v>
      </c>
      <c r="B305" s="26" t="s">
        <v>17</v>
      </c>
      <c r="C305" s="26" t="s">
        <v>74</v>
      </c>
      <c r="D305" s="26" t="s">
        <v>28</v>
      </c>
      <c r="E305" s="26" t="n">
        <v>41</v>
      </c>
    </row>
    <row r="306" customFormat="false" ht="15" hidden="false" customHeight="false" outlineLevel="0" collapsed="false">
      <c r="A306" s="25" t="n">
        <v>46219</v>
      </c>
      <c r="B306" s="26" t="s">
        <v>17</v>
      </c>
      <c r="C306" s="26" t="s">
        <v>74</v>
      </c>
      <c r="D306" s="26" t="s">
        <v>30</v>
      </c>
      <c r="E306" s="26" t="n">
        <v>16</v>
      </c>
    </row>
    <row r="307" customFormat="false" ht="15" hidden="false" customHeight="false" outlineLevel="0" collapsed="false">
      <c r="A307" s="25" t="n">
        <v>46219</v>
      </c>
      <c r="B307" s="26" t="s">
        <v>17</v>
      </c>
      <c r="C307" s="26" t="s">
        <v>74</v>
      </c>
      <c r="D307" s="26" t="s">
        <v>26</v>
      </c>
      <c r="E307" s="26" t="n">
        <v>120</v>
      </c>
    </row>
    <row r="308" customFormat="false" ht="15" hidden="false" customHeight="false" outlineLevel="0" collapsed="false">
      <c r="A308" s="25" t="n">
        <v>46219</v>
      </c>
      <c r="B308" s="26" t="s">
        <v>18</v>
      </c>
      <c r="C308" s="26" t="s">
        <v>72</v>
      </c>
      <c r="D308" s="26" t="s">
        <v>30</v>
      </c>
      <c r="E308" s="26" t="n">
        <v>34</v>
      </c>
    </row>
    <row r="309" customFormat="false" ht="15" hidden="false" customHeight="false" outlineLevel="0" collapsed="false">
      <c r="A309" s="25" t="n">
        <v>46219</v>
      </c>
      <c r="B309" s="26" t="s">
        <v>18</v>
      </c>
      <c r="C309" s="26" t="s">
        <v>72</v>
      </c>
      <c r="D309" s="26" t="s">
        <v>28</v>
      </c>
      <c r="E309" s="26" t="n">
        <v>54</v>
      </c>
    </row>
    <row r="310" customFormat="false" ht="15" hidden="false" customHeight="false" outlineLevel="0" collapsed="false">
      <c r="A310" s="25" t="n">
        <v>46219</v>
      </c>
      <c r="B310" s="26" t="s">
        <v>18</v>
      </c>
      <c r="C310" s="26" t="s">
        <v>72</v>
      </c>
      <c r="D310" s="26" t="s">
        <v>27</v>
      </c>
      <c r="E310" s="26" t="n">
        <v>16</v>
      </c>
    </row>
    <row r="311" customFormat="false" ht="15" hidden="false" customHeight="false" outlineLevel="0" collapsed="false">
      <c r="A311" s="25" t="n">
        <v>46219</v>
      </c>
      <c r="B311" s="26" t="s">
        <v>18</v>
      </c>
      <c r="C311" s="26" t="s">
        <v>73</v>
      </c>
      <c r="D311" s="26" t="s">
        <v>26</v>
      </c>
      <c r="E311" s="26" t="n">
        <v>95</v>
      </c>
    </row>
    <row r="312" customFormat="false" ht="15" hidden="false" customHeight="false" outlineLevel="0" collapsed="false">
      <c r="A312" s="25" t="n">
        <v>46219</v>
      </c>
      <c r="B312" s="26" t="s">
        <v>18</v>
      </c>
      <c r="C312" s="26" t="s">
        <v>73</v>
      </c>
      <c r="D312" s="26" t="s">
        <v>29</v>
      </c>
      <c r="E312" s="26" t="n">
        <v>13</v>
      </c>
    </row>
    <row r="313" customFormat="false" ht="15" hidden="false" customHeight="false" outlineLevel="0" collapsed="false">
      <c r="A313" s="25" t="n">
        <v>46219</v>
      </c>
      <c r="B313" s="26" t="s">
        <v>18</v>
      </c>
      <c r="C313" s="26" t="s">
        <v>73</v>
      </c>
      <c r="D313" s="26" t="s">
        <v>27</v>
      </c>
      <c r="E313" s="26" t="n">
        <v>22</v>
      </c>
    </row>
    <row r="314" customFormat="false" ht="15" hidden="false" customHeight="false" outlineLevel="0" collapsed="false">
      <c r="A314" s="25" t="n">
        <v>46219</v>
      </c>
      <c r="B314" s="26" t="s">
        <v>18</v>
      </c>
      <c r="C314" s="26" t="s">
        <v>73</v>
      </c>
      <c r="D314" s="26" t="s">
        <v>26</v>
      </c>
      <c r="E314" s="26" t="n">
        <v>82</v>
      </c>
    </row>
    <row r="315" customFormat="false" ht="15" hidden="false" customHeight="false" outlineLevel="0" collapsed="false">
      <c r="A315" s="25" t="n">
        <v>46219</v>
      </c>
      <c r="B315" s="26" t="s">
        <v>18</v>
      </c>
      <c r="C315" s="26" t="s">
        <v>74</v>
      </c>
      <c r="D315" s="26" t="s">
        <v>27</v>
      </c>
      <c r="E315" s="26" t="n">
        <v>9</v>
      </c>
    </row>
    <row r="316" customFormat="false" ht="15" hidden="false" customHeight="false" outlineLevel="0" collapsed="false">
      <c r="A316" s="25" t="n">
        <v>46219</v>
      </c>
      <c r="B316" s="26" t="s">
        <v>18</v>
      </c>
      <c r="C316" s="26" t="s">
        <v>74</v>
      </c>
      <c r="D316" s="26" t="s">
        <v>30</v>
      </c>
      <c r="E316" s="26" t="n">
        <v>35</v>
      </c>
    </row>
    <row r="317" customFormat="false" ht="15" hidden="false" customHeight="false" outlineLevel="0" collapsed="false">
      <c r="A317" s="25" t="n">
        <v>46220</v>
      </c>
      <c r="B317" s="26" t="s">
        <v>16</v>
      </c>
      <c r="C317" s="26" t="s">
        <v>72</v>
      </c>
      <c r="D317" s="26" t="s">
        <v>31</v>
      </c>
      <c r="E317" s="26" t="n">
        <v>23</v>
      </c>
    </row>
    <row r="318" customFormat="false" ht="15" hidden="false" customHeight="false" outlineLevel="0" collapsed="false">
      <c r="A318" s="25" t="n">
        <v>46220</v>
      </c>
      <c r="B318" s="26" t="s">
        <v>16</v>
      </c>
      <c r="C318" s="26" t="s">
        <v>73</v>
      </c>
      <c r="D318" s="26" t="s">
        <v>27</v>
      </c>
      <c r="E318" s="26" t="n">
        <v>36</v>
      </c>
    </row>
    <row r="319" customFormat="false" ht="15" hidden="false" customHeight="false" outlineLevel="0" collapsed="false">
      <c r="A319" s="25" t="n">
        <v>46220</v>
      </c>
      <c r="B319" s="26" t="s">
        <v>16</v>
      </c>
      <c r="C319" s="26" t="s">
        <v>73</v>
      </c>
      <c r="D319" s="26" t="s">
        <v>26</v>
      </c>
      <c r="E319" s="26" t="n">
        <v>10</v>
      </c>
    </row>
    <row r="320" customFormat="false" ht="15" hidden="false" customHeight="false" outlineLevel="0" collapsed="false">
      <c r="A320" s="25" t="n">
        <v>46220</v>
      </c>
      <c r="B320" s="26" t="s">
        <v>16</v>
      </c>
      <c r="C320" s="26" t="s">
        <v>73</v>
      </c>
      <c r="D320" s="26" t="s">
        <v>27</v>
      </c>
      <c r="E320" s="26" t="n">
        <v>38</v>
      </c>
    </row>
    <row r="321" customFormat="false" ht="15" hidden="false" customHeight="false" outlineLevel="0" collapsed="false">
      <c r="A321" s="25" t="n">
        <v>46220</v>
      </c>
      <c r="B321" s="26" t="s">
        <v>16</v>
      </c>
      <c r="C321" s="26" t="s">
        <v>74</v>
      </c>
      <c r="D321" s="26" t="s">
        <v>26</v>
      </c>
      <c r="E321" s="26" t="n">
        <v>32</v>
      </c>
    </row>
    <row r="322" customFormat="false" ht="15" hidden="false" customHeight="false" outlineLevel="0" collapsed="false">
      <c r="A322" s="25" t="n">
        <v>46220</v>
      </c>
      <c r="B322" s="26" t="s">
        <v>16</v>
      </c>
      <c r="C322" s="26" t="s">
        <v>74</v>
      </c>
      <c r="D322" s="26" t="s">
        <v>32</v>
      </c>
      <c r="E322" s="26" t="n">
        <v>5</v>
      </c>
    </row>
    <row r="323" customFormat="false" ht="15" hidden="false" customHeight="false" outlineLevel="0" collapsed="false">
      <c r="A323" s="25" t="n">
        <v>46220</v>
      </c>
      <c r="B323" s="26" t="s">
        <v>16</v>
      </c>
      <c r="C323" s="26" t="s">
        <v>74</v>
      </c>
      <c r="D323" s="26" t="s">
        <v>30</v>
      </c>
      <c r="E323" s="26" t="n">
        <v>20</v>
      </c>
    </row>
    <row r="324" customFormat="false" ht="15" hidden="false" customHeight="false" outlineLevel="0" collapsed="false">
      <c r="A324" s="25" t="n">
        <v>46220</v>
      </c>
      <c r="B324" s="26" t="s">
        <v>17</v>
      </c>
      <c r="C324" s="26" t="s">
        <v>72</v>
      </c>
      <c r="D324" s="26" t="s">
        <v>26</v>
      </c>
      <c r="E324" s="26" t="n">
        <v>30</v>
      </c>
    </row>
    <row r="325" customFormat="false" ht="15" hidden="false" customHeight="false" outlineLevel="0" collapsed="false">
      <c r="A325" s="25" t="n">
        <v>46220</v>
      </c>
      <c r="B325" s="26" t="s">
        <v>17</v>
      </c>
      <c r="C325" s="26" t="s">
        <v>72</v>
      </c>
      <c r="D325" s="26" t="s">
        <v>32</v>
      </c>
      <c r="E325" s="26" t="n">
        <v>6</v>
      </c>
    </row>
    <row r="326" customFormat="false" ht="15" hidden="false" customHeight="false" outlineLevel="0" collapsed="false">
      <c r="A326" s="25" t="n">
        <v>46220</v>
      </c>
      <c r="B326" s="26" t="s">
        <v>17</v>
      </c>
      <c r="C326" s="26" t="s">
        <v>72</v>
      </c>
      <c r="D326" s="26" t="s">
        <v>26</v>
      </c>
      <c r="E326" s="26" t="n">
        <v>18</v>
      </c>
    </row>
    <row r="327" customFormat="false" ht="15" hidden="false" customHeight="false" outlineLevel="0" collapsed="false">
      <c r="A327" s="25" t="n">
        <v>46220</v>
      </c>
      <c r="B327" s="26" t="s">
        <v>17</v>
      </c>
      <c r="C327" s="26" t="s">
        <v>73</v>
      </c>
      <c r="D327" s="26" t="s">
        <v>26</v>
      </c>
      <c r="E327" s="26" t="n">
        <v>72</v>
      </c>
    </row>
    <row r="328" customFormat="false" ht="15" hidden="false" customHeight="false" outlineLevel="0" collapsed="false">
      <c r="A328" s="25" t="n">
        <v>46220</v>
      </c>
      <c r="B328" s="26" t="s">
        <v>17</v>
      </c>
      <c r="C328" s="26" t="s">
        <v>73</v>
      </c>
      <c r="D328" s="26" t="s">
        <v>26</v>
      </c>
      <c r="E328" s="26" t="n">
        <v>45</v>
      </c>
    </row>
    <row r="329" customFormat="false" ht="15" hidden="false" customHeight="false" outlineLevel="0" collapsed="false">
      <c r="A329" s="25" t="n">
        <v>46220</v>
      </c>
      <c r="B329" s="26" t="s">
        <v>17</v>
      </c>
      <c r="C329" s="26" t="s">
        <v>73</v>
      </c>
      <c r="D329" s="26" t="s">
        <v>31</v>
      </c>
      <c r="E329" s="26" t="n">
        <v>56</v>
      </c>
    </row>
    <row r="330" customFormat="false" ht="15" hidden="false" customHeight="false" outlineLevel="0" collapsed="false">
      <c r="A330" s="25" t="n">
        <v>46220</v>
      </c>
      <c r="B330" s="26" t="s">
        <v>17</v>
      </c>
      <c r="C330" s="26" t="s">
        <v>74</v>
      </c>
      <c r="D330" s="26" t="s">
        <v>31</v>
      </c>
      <c r="E330" s="26" t="n">
        <v>38</v>
      </c>
    </row>
    <row r="331" customFormat="false" ht="15" hidden="false" customHeight="false" outlineLevel="0" collapsed="false">
      <c r="A331" s="25" t="n">
        <v>46220</v>
      </c>
      <c r="B331" s="26" t="s">
        <v>18</v>
      </c>
      <c r="C331" s="26" t="s">
        <v>72</v>
      </c>
      <c r="D331" s="26" t="s">
        <v>29</v>
      </c>
      <c r="E331" s="26" t="n">
        <v>19</v>
      </c>
    </row>
    <row r="332" customFormat="false" ht="15" hidden="false" customHeight="false" outlineLevel="0" collapsed="false">
      <c r="A332" s="25" t="n">
        <v>46220</v>
      </c>
      <c r="B332" s="26" t="s">
        <v>18</v>
      </c>
      <c r="C332" s="26" t="s">
        <v>72</v>
      </c>
      <c r="D332" s="26" t="s">
        <v>30</v>
      </c>
      <c r="E332" s="26" t="n">
        <v>17</v>
      </c>
    </row>
    <row r="333" customFormat="false" ht="15" hidden="false" customHeight="false" outlineLevel="0" collapsed="false">
      <c r="A333" s="25" t="n">
        <v>46220</v>
      </c>
      <c r="B333" s="26" t="s">
        <v>18</v>
      </c>
      <c r="C333" s="26" t="s">
        <v>73</v>
      </c>
      <c r="D333" s="26" t="s">
        <v>28</v>
      </c>
      <c r="E333" s="26" t="n">
        <v>14</v>
      </c>
    </row>
    <row r="334" customFormat="false" ht="15" hidden="false" customHeight="false" outlineLevel="0" collapsed="false">
      <c r="A334" s="25" t="n">
        <v>46220</v>
      </c>
      <c r="B334" s="26" t="s">
        <v>18</v>
      </c>
      <c r="C334" s="26" t="s">
        <v>73</v>
      </c>
      <c r="D334" s="26" t="s">
        <v>26</v>
      </c>
      <c r="E334" s="26" t="n">
        <v>25</v>
      </c>
    </row>
    <row r="335" customFormat="false" ht="15" hidden="false" customHeight="false" outlineLevel="0" collapsed="false">
      <c r="A335" s="25" t="n">
        <v>46220</v>
      </c>
      <c r="B335" s="26" t="s">
        <v>18</v>
      </c>
      <c r="C335" s="26" t="s">
        <v>73</v>
      </c>
      <c r="D335" s="26" t="s">
        <v>26</v>
      </c>
      <c r="E335" s="26" t="n">
        <v>120</v>
      </c>
    </row>
    <row r="336" customFormat="false" ht="15" hidden="false" customHeight="false" outlineLevel="0" collapsed="false">
      <c r="A336" s="25" t="n">
        <v>46220</v>
      </c>
      <c r="B336" s="26" t="s">
        <v>18</v>
      </c>
      <c r="C336" s="26" t="s">
        <v>74</v>
      </c>
      <c r="D336" s="26" t="s">
        <v>27</v>
      </c>
      <c r="E336" s="26" t="n">
        <v>17</v>
      </c>
    </row>
    <row r="337" customFormat="false" ht="15" hidden="false" customHeight="false" outlineLevel="0" collapsed="false">
      <c r="A337" s="25" t="n">
        <v>46220</v>
      </c>
      <c r="B337" s="26" t="s">
        <v>18</v>
      </c>
      <c r="C337" s="26" t="s">
        <v>74</v>
      </c>
      <c r="D337" s="26" t="s">
        <v>27</v>
      </c>
      <c r="E337" s="26" t="n">
        <v>29</v>
      </c>
    </row>
    <row r="338" customFormat="false" ht="15" hidden="false" customHeight="false" outlineLevel="0" collapsed="false">
      <c r="A338" s="25" t="n">
        <v>46221</v>
      </c>
      <c r="B338" s="26" t="s">
        <v>16</v>
      </c>
      <c r="C338" s="26" t="s">
        <v>72</v>
      </c>
      <c r="D338" s="26" t="s">
        <v>26</v>
      </c>
      <c r="E338" s="26" t="n">
        <v>22</v>
      </c>
    </row>
    <row r="339" customFormat="false" ht="15" hidden="false" customHeight="false" outlineLevel="0" collapsed="false">
      <c r="A339" s="25" t="n">
        <v>46221</v>
      </c>
      <c r="B339" s="26" t="s">
        <v>16</v>
      </c>
      <c r="C339" s="26" t="s">
        <v>72</v>
      </c>
      <c r="D339" s="26" t="s">
        <v>27</v>
      </c>
      <c r="E339" s="26" t="n">
        <v>24</v>
      </c>
    </row>
    <row r="340" customFormat="false" ht="15" hidden="false" customHeight="false" outlineLevel="0" collapsed="false">
      <c r="A340" s="25" t="n">
        <v>46221</v>
      </c>
      <c r="B340" s="26" t="s">
        <v>16</v>
      </c>
      <c r="C340" s="26" t="s">
        <v>72</v>
      </c>
      <c r="D340" s="26" t="s">
        <v>32</v>
      </c>
      <c r="E340" s="26" t="n">
        <v>10</v>
      </c>
    </row>
    <row r="341" customFormat="false" ht="15" hidden="false" customHeight="false" outlineLevel="0" collapsed="false">
      <c r="A341" s="25" t="n">
        <v>46221</v>
      </c>
      <c r="B341" s="26" t="s">
        <v>16</v>
      </c>
      <c r="C341" s="26" t="s">
        <v>72</v>
      </c>
      <c r="D341" s="26" t="s">
        <v>26</v>
      </c>
      <c r="E341" s="26" t="n">
        <v>27</v>
      </c>
    </row>
    <row r="342" customFormat="false" ht="15" hidden="false" customHeight="false" outlineLevel="0" collapsed="false">
      <c r="A342" s="25" t="n">
        <v>46221</v>
      </c>
      <c r="B342" s="26" t="s">
        <v>16</v>
      </c>
      <c r="C342" s="26" t="s">
        <v>73</v>
      </c>
      <c r="D342" s="26" t="s">
        <v>29</v>
      </c>
      <c r="E342" s="26" t="n">
        <v>30</v>
      </c>
    </row>
    <row r="343" customFormat="false" ht="15" hidden="false" customHeight="false" outlineLevel="0" collapsed="false">
      <c r="A343" s="25" t="n">
        <v>46221</v>
      </c>
      <c r="B343" s="26" t="s">
        <v>16</v>
      </c>
      <c r="C343" s="26" t="s">
        <v>73</v>
      </c>
      <c r="D343" s="26" t="s">
        <v>27</v>
      </c>
      <c r="E343" s="26" t="n">
        <v>41</v>
      </c>
    </row>
    <row r="344" customFormat="false" ht="15" hidden="false" customHeight="false" outlineLevel="0" collapsed="false">
      <c r="A344" s="25" t="n">
        <v>46221</v>
      </c>
      <c r="B344" s="26" t="s">
        <v>16</v>
      </c>
      <c r="C344" s="26" t="s">
        <v>74</v>
      </c>
      <c r="D344" s="26" t="s">
        <v>27</v>
      </c>
      <c r="E344" s="26" t="n">
        <v>20</v>
      </c>
    </row>
    <row r="345" customFormat="false" ht="15" hidden="false" customHeight="false" outlineLevel="0" collapsed="false">
      <c r="A345" s="25" t="n">
        <v>46221</v>
      </c>
      <c r="B345" s="26" t="s">
        <v>16</v>
      </c>
      <c r="C345" s="26" t="s">
        <v>74</v>
      </c>
      <c r="D345" s="26" t="s">
        <v>29</v>
      </c>
      <c r="E345" s="26" t="n">
        <v>26</v>
      </c>
    </row>
    <row r="346" customFormat="false" ht="15" hidden="false" customHeight="false" outlineLevel="0" collapsed="false">
      <c r="A346" s="25" t="n">
        <v>46221</v>
      </c>
      <c r="B346" s="26" t="s">
        <v>16</v>
      </c>
      <c r="C346" s="26" t="s">
        <v>74</v>
      </c>
      <c r="D346" s="26" t="s">
        <v>27</v>
      </c>
      <c r="E346" s="26" t="n">
        <v>22</v>
      </c>
    </row>
    <row r="347" customFormat="false" ht="15" hidden="false" customHeight="false" outlineLevel="0" collapsed="false">
      <c r="A347" s="25" t="n">
        <v>46221</v>
      </c>
      <c r="B347" s="26" t="s">
        <v>17</v>
      </c>
      <c r="C347" s="26" t="s">
        <v>72</v>
      </c>
      <c r="D347" s="26" t="s">
        <v>26</v>
      </c>
      <c r="E347" s="26" t="n">
        <v>120</v>
      </c>
    </row>
    <row r="348" customFormat="false" ht="15" hidden="false" customHeight="false" outlineLevel="0" collapsed="false">
      <c r="A348" s="25" t="n">
        <v>46221</v>
      </c>
      <c r="B348" s="26" t="s">
        <v>17</v>
      </c>
      <c r="C348" s="26" t="s">
        <v>72</v>
      </c>
      <c r="D348" s="26" t="s">
        <v>26</v>
      </c>
      <c r="E348" s="26" t="n">
        <v>63</v>
      </c>
    </row>
    <row r="349" customFormat="false" ht="15" hidden="false" customHeight="false" outlineLevel="0" collapsed="false">
      <c r="A349" s="25" t="n">
        <v>46221</v>
      </c>
      <c r="B349" s="26" t="s">
        <v>17</v>
      </c>
      <c r="C349" s="26" t="s">
        <v>73</v>
      </c>
      <c r="D349" s="26" t="s">
        <v>27</v>
      </c>
      <c r="E349" s="26" t="n">
        <v>27</v>
      </c>
    </row>
    <row r="350" customFormat="false" ht="15" hidden="false" customHeight="false" outlineLevel="0" collapsed="false">
      <c r="A350" s="25" t="n">
        <v>46221</v>
      </c>
      <c r="B350" s="26" t="s">
        <v>17</v>
      </c>
      <c r="C350" s="26" t="s">
        <v>73</v>
      </c>
      <c r="D350" s="26" t="s">
        <v>27</v>
      </c>
      <c r="E350" s="26" t="n">
        <v>10</v>
      </c>
    </row>
    <row r="351" customFormat="false" ht="15" hidden="false" customHeight="false" outlineLevel="0" collapsed="false">
      <c r="A351" s="25" t="n">
        <v>46221</v>
      </c>
      <c r="B351" s="26" t="s">
        <v>17</v>
      </c>
      <c r="C351" s="26" t="s">
        <v>74</v>
      </c>
      <c r="D351" s="26" t="s">
        <v>30</v>
      </c>
      <c r="E351" s="26" t="n">
        <v>38</v>
      </c>
    </row>
    <row r="352" customFormat="false" ht="15" hidden="false" customHeight="false" outlineLevel="0" collapsed="false">
      <c r="A352" s="25" t="n">
        <v>46221</v>
      </c>
      <c r="B352" s="26" t="s">
        <v>18</v>
      </c>
      <c r="C352" s="26" t="s">
        <v>72</v>
      </c>
      <c r="D352" s="26" t="s">
        <v>28</v>
      </c>
      <c r="E352" s="26" t="n">
        <v>17</v>
      </c>
    </row>
    <row r="353" customFormat="false" ht="15" hidden="false" customHeight="false" outlineLevel="0" collapsed="false">
      <c r="A353" s="25" t="n">
        <v>46221</v>
      </c>
      <c r="B353" s="26" t="s">
        <v>18</v>
      </c>
      <c r="C353" s="26" t="s">
        <v>72</v>
      </c>
      <c r="D353" s="26" t="s">
        <v>30</v>
      </c>
      <c r="E353" s="26" t="n">
        <v>55</v>
      </c>
    </row>
    <row r="354" customFormat="false" ht="15" hidden="false" customHeight="false" outlineLevel="0" collapsed="false">
      <c r="A354" s="25" t="n">
        <v>46221</v>
      </c>
      <c r="B354" s="26" t="s">
        <v>18</v>
      </c>
      <c r="C354" s="26" t="s">
        <v>72</v>
      </c>
      <c r="D354" s="26" t="s">
        <v>26</v>
      </c>
      <c r="E354" s="26" t="n">
        <v>28</v>
      </c>
    </row>
    <row r="355" customFormat="false" ht="15" hidden="false" customHeight="false" outlineLevel="0" collapsed="false">
      <c r="A355" s="25" t="n">
        <v>46221</v>
      </c>
      <c r="B355" s="26" t="s">
        <v>18</v>
      </c>
      <c r="C355" s="26" t="s">
        <v>72</v>
      </c>
      <c r="D355" s="26" t="s">
        <v>27</v>
      </c>
      <c r="E355" s="26" t="n">
        <v>19</v>
      </c>
    </row>
    <row r="356" customFormat="false" ht="15" hidden="false" customHeight="false" outlineLevel="0" collapsed="false">
      <c r="A356" s="25" t="n">
        <v>46221</v>
      </c>
      <c r="B356" s="26" t="s">
        <v>18</v>
      </c>
      <c r="C356" s="26" t="s">
        <v>72</v>
      </c>
      <c r="D356" s="26" t="s">
        <v>32</v>
      </c>
      <c r="E356" s="26" t="n">
        <v>8</v>
      </c>
    </row>
    <row r="357" customFormat="false" ht="15" hidden="false" customHeight="false" outlineLevel="0" collapsed="false">
      <c r="A357" s="25" t="n">
        <v>46221</v>
      </c>
      <c r="B357" s="26" t="s">
        <v>18</v>
      </c>
      <c r="C357" s="26" t="s">
        <v>73</v>
      </c>
      <c r="D357" s="26" t="s">
        <v>26</v>
      </c>
      <c r="E357" s="26" t="n">
        <v>20</v>
      </c>
    </row>
    <row r="358" customFormat="false" ht="15" hidden="false" customHeight="false" outlineLevel="0" collapsed="false">
      <c r="A358" s="25" t="n">
        <v>46221</v>
      </c>
      <c r="B358" s="26" t="s">
        <v>18</v>
      </c>
      <c r="C358" s="26" t="s">
        <v>73</v>
      </c>
      <c r="D358" s="26" t="s">
        <v>27</v>
      </c>
      <c r="E358" s="26" t="n">
        <v>65</v>
      </c>
    </row>
    <row r="359" customFormat="false" ht="15" hidden="false" customHeight="false" outlineLevel="0" collapsed="false">
      <c r="A359" s="25" t="n">
        <v>46221</v>
      </c>
      <c r="B359" s="26" t="s">
        <v>18</v>
      </c>
      <c r="C359" s="26" t="s">
        <v>74</v>
      </c>
      <c r="D359" s="26" t="s">
        <v>26</v>
      </c>
      <c r="E359" s="26" t="n">
        <v>41</v>
      </c>
    </row>
    <row r="360" customFormat="false" ht="15" hidden="false" customHeight="false" outlineLevel="0" collapsed="false">
      <c r="A360" s="25" t="n">
        <v>46222</v>
      </c>
      <c r="B360" s="26" t="s">
        <v>16</v>
      </c>
      <c r="C360" s="26" t="s">
        <v>72</v>
      </c>
      <c r="D360" s="26" t="s">
        <v>31</v>
      </c>
      <c r="E360" s="26" t="n">
        <v>46</v>
      </c>
    </row>
    <row r="361" customFormat="false" ht="15" hidden="false" customHeight="false" outlineLevel="0" collapsed="false">
      <c r="A361" s="25" t="n">
        <v>46222</v>
      </c>
      <c r="B361" s="26" t="s">
        <v>16</v>
      </c>
      <c r="C361" s="26" t="s">
        <v>73</v>
      </c>
      <c r="D361" s="26" t="s">
        <v>27</v>
      </c>
      <c r="E361" s="26" t="n">
        <v>12</v>
      </c>
    </row>
    <row r="362" customFormat="false" ht="15" hidden="false" customHeight="false" outlineLevel="0" collapsed="false">
      <c r="A362" s="25" t="n">
        <v>46222</v>
      </c>
      <c r="B362" s="26" t="s">
        <v>16</v>
      </c>
      <c r="C362" s="26" t="s">
        <v>74</v>
      </c>
      <c r="D362" s="26" t="s">
        <v>27</v>
      </c>
      <c r="E362" s="26" t="n">
        <v>25</v>
      </c>
    </row>
    <row r="363" customFormat="false" ht="15" hidden="false" customHeight="false" outlineLevel="0" collapsed="false">
      <c r="A363" s="25" t="n">
        <v>46222</v>
      </c>
      <c r="B363" s="26" t="s">
        <v>17</v>
      </c>
      <c r="C363" s="26" t="s">
        <v>72</v>
      </c>
      <c r="D363" s="26" t="s">
        <v>28</v>
      </c>
      <c r="E363" s="26" t="n">
        <v>41</v>
      </c>
    </row>
    <row r="364" customFormat="false" ht="15" hidden="false" customHeight="false" outlineLevel="0" collapsed="false">
      <c r="A364" s="25" t="n">
        <v>46222</v>
      </c>
      <c r="B364" s="26" t="s">
        <v>17</v>
      </c>
      <c r="C364" s="26" t="s">
        <v>72</v>
      </c>
      <c r="D364" s="26" t="s">
        <v>30</v>
      </c>
      <c r="E364" s="26" t="n">
        <v>39</v>
      </c>
    </row>
    <row r="365" customFormat="false" ht="15" hidden="false" customHeight="false" outlineLevel="0" collapsed="false">
      <c r="A365" s="25" t="n">
        <v>46222</v>
      </c>
      <c r="B365" s="26" t="s">
        <v>17</v>
      </c>
      <c r="C365" s="26" t="s">
        <v>72</v>
      </c>
      <c r="D365" s="26" t="s">
        <v>28</v>
      </c>
      <c r="E365" s="26" t="n">
        <v>68</v>
      </c>
    </row>
    <row r="366" customFormat="false" ht="15" hidden="false" customHeight="false" outlineLevel="0" collapsed="false">
      <c r="A366" s="25" t="n">
        <v>46222</v>
      </c>
      <c r="B366" s="26" t="s">
        <v>17</v>
      </c>
      <c r="C366" s="26" t="s">
        <v>73</v>
      </c>
      <c r="D366" s="26" t="s">
        <v>26</v>
      </c>
      <c r="E366" s="26" t="n">
        <v>30</v>
      </c>
    </row>
    <row r="367" customFormat="false" ht="15" hidden="false" customHeight="false" outlineLevel="0" collapsed="false">
      <c r="A367" s="25" t="n">
        <v>46222</v>
      </c>
      <c r="B367" s="26" t="s">
        <v>17</v>
      </c>
      <c r="C367" s="26" t="s">
        <v>73</v>
      </c>
      <c r="D367" s="26" t="s">
        <v>28</v>
      </c>
      <c r="E367" s="26" t="n">
        <v>12</v>
      </c>
    </row>
    <row r="368" customFormat="false" ht="15" hidden="false" customHeight="false" outlineLevel="0" collapsed="false">
      <c r="A368" s="25" t="n">
        <v>46222</v>
      </c>
      <c r="B368" s="26" t="s">
        <v>17</v>
      </c>
      <c r="C368" s="26" t="s">
        <v>74</v>
      </c>
      <c r="D368" s="26" t="s">
        <v>26</v>
      </c>
      <c r="E368" s="26" t="n">
        <v>31</v>
      </c>
    </row>
    <row r="369" customFormat="false" ht="15" hidden="false" customHeight="false" outlineLevel="0" collapsed="false">
      <c r="A369" s="25" t="n">
        <v>46222</v>
      </c>
      <c r="B369" s="26" t="s">
        <v>17</v>
      </c>
      <c r="C369" s="26" t="s">
        <v>74</v>
      </c>
      <c r="D369" s="26" t="s">
        <v>27</v>
      </c>
      <c r="E369" s="26" t="n">
        <v>16</v>
      </c>
    </row>
    <row r="370" customFormat="false" ht="15" hidden="false" customHeight="false" outlineLevel="0" collapsed="false">
      <c r="A370" s="25" t="n">
        <v>46222</v>
      </c>
      <c r="B370" s="26" t="s">
        <v>18</v>
      </c>
      <c r="C370" s="26" t="s">
        <v>72</v>
      </c>
      <c r="D370" s="26" t="s">
        <v>29</v>
      </c>
      <c r="E370" s="26" t="n">
        <v>12</v>
      </c>
    </row>
    <row r="371" customFormat="false" ht="15" hidden="false" customHeight="false" outlineLevel="0" collapsed="false">
      <c r="A371" s="25" t="n">
        <v>46222</v>
      </c>
      <c r="B371" s="26" t="s">
        <v>18</v>
      </c>
      <c r="C371" s="26" t="s">
        <v>72</v>
      </c>
      <c r="D371" s="26" t="s">
        <v>29</v>
      </c>
      <c r="E371" s="26" t="n">
        <v>10</v>
      </c>
    </row>
    <row r="372" customFormat="false" ht="15" hidden="false" customHeight="false" outlineLevel="0" collapsed="false">
      <c r="A372" s="25" t="n">
        <v>46222</v>
      </c>
      <c r="B372" s="26" t="s">
        <v>18</v>
      </c>
      <c r="C372" s="26" t="s">
        <v>72</v>
      </c>
      <c r="D372" s="26" t="s">
        <v>32</v>
      </c>
      <c r="E372" s="26" t="n">
        <v>8</v>
      </c>
    </row>
    <row r="373" customFormat="false" ht="15" hidden="false" customHeight="false" outlineLevel="0" collapsed="false">
      <c r="A373" s="25" t="n">
        <v>46222</v>
      </c>
      <c r="B373" s="26" t="s">
        <v>18</v>
      </c>
      <c r="C373" s="26" t="s">
        <v>73</v>
      </c>
      <c r="D373" s="26" t="s">
        <v>27</v>
      </c>
      <c r="E373" s="26" t="n">
        <v>68</v>
      </c>
    </row>
    <row r="374" customFormat="false" ht="15" hidden="false" customHeight="false" outlineLevel="0" collapsed="false">
      <c r="A374" s="25" t="n">
        <v>46222</v>
      </c>
      <c r="B374" s="26" t="s">
        <v>18</v>
      </c>
      <c r="C374" s="26" t="s">
        <v>73</v>
      </c>
      <c r="D374" s="26" t="s">
        <v>30</v>
      </c>
      <c r="E374" s="26" t="n">
        <v>23</v>
      </c>
    </row>
    <row r="375" customFormat="false" ht="15" hidden="false" customHeight="false" outlineLevel="0" collapsed="false">
      <c r="A375" s="25" t="n">
        <v>46223</v>
      </c>
      <c r="B375" s="26" t="s">
        <v>16</v>
      </c>
      <c r="C375" s="26" t="s">
        <v>72</v>
      </c>
      <c r="D375" s="26" t="s">
        <v>31</v>
      </c>
      <c r="E375" s="26" t="n">
        <v>33</v>
      </c>
    </row>
    <row r="376" customFormat="false" ht="15" hidden="false" customHeight="false" outlineLevel="0" collapsed="false">
      <c r="A376" s="25" t="n">
        <v>46223</v>
      </c>
      <c r="B376" s="26" t="s">
        <v>16</v>
      </c>
      <c r="C376" s="26" t="s">
        <v>72</v>
      </c>
      <c r="D376" s="26" t="s">
        <v>26</v>
      </c>
      <c r="E376" s="26" t="n">
        <v>27</v>
      </c>
    </row>
    <row r="377" customFormat="false" ht="15" hidden="false" customHeight="false" outlineLevel="0" collapsed="false">
      <c r="A377" s="25" t="n">
        <v>46223</v>
      </c>
      <c r="B377" s="26" t="s">
        <v>16</v>
      </c>
      <c r="C377" s="26" t="s">
        <v>73</v>
      </c>
      <c r="D377" s="26" t="s">
        <v>26</v>
      </c>
      <c r="E377" s="26" t="n">
        <v>39</v>
      </c>
    </row>
    <row r="378" customFormat="false" ht="15" hidden="false" customHeight="false" outlineLevel="0" collapsed="false">
      <c r="A378" s="25" t="n">
        <v>46223</v>
      </c>
      <c r="B378" s="26" t="s">
        <v>16</v>
      </c>
      <c r="C378" s="26" t="s">
        <v>73</v>
      </c>
      <c r="D378" s="26" t="s">
        <v>29</v>
      </c>
      <c r="E378" s="26" t="n">
        <v>21</v>
      </c>
    </row>
    <row r="379" customFormat="false" ht="15" hidden="false" customHeight="false" outlineLevel="0" collapsed="false">
      <c r="A379" s="25" t="n">
        <v>46223</v>
      </c>
      <c r="B379" s="26" t="s">
        <v>16</v>
      </c>
      <c r="C379" s="26" t="s">
        <v>73</v>
      </c>
      <c r="D379" s="26" t="s">
        <v>28</v>
      </c>
      <c r="E379" s="26" t="n">
        <v>15</v>
      </c>
    </row>
    <row r="380" customFormat="false" ht="15" hidden="false" customHeight="false" outlineLevel="0" collapsed="false">
      <c r="A380" s="25" t="n">
        <v>46223</v>
      </c>
      <c r="B380" s="26" t="s">
        <v>16</v>
      </c>
      <c r="C380" s="26" t="s">
        <v>73</v>
      </c>
      <c r="D380" s="26" t="s">
        <v>26</v>
      </c>
      <c r="E380" s="26" t="n">
        <v>34</v>
      </c>
    </row>
    <row r="381" customFormat="false" ht="15" hidden="false" customHeight="false" outlineLevel="0" collapsed="false">
      <c r="A381" s="25" t="n">
        <v>46223</v>
      </c>
      <c r="B381" s="26" t="s">
        <v>16</v>
      </c>
      <c r="C381" s="26" t="s">
        <v>74</v>
      </c>
      <c r="D381" s="26" t="s">
        <v>27</v>
      </c>
      <c r="E381" s="26" t="n">
        <v>21</v>
      </c>
    </row>
    <row r="382" customFormat="false" ht="15" hidden="false" customHeight="false" outlineLevel="0" collapsed="false">
      <c r="A382" s="25" t="n">
        <v>46223</v>
      </c>
      <c r="B382" s="26" t="s">
        <v>17</v>
      </c>
      <c r="C382" s="26" t="s">
        <v>72</v>
      </c>
      <c r="D382" s="26" t="s">
        <v>30</v>
      </c>
      <c r="E382" s="26" t="n">
        <v>26</v>
      </c>
    </row>
    <row r="383" customFormat="false" ht="15" hidden="false" customHeight="false" outlineLevel="0" collapsed="false">
      <c r="A383" s="25" t="n">
        <v>46223</v>
      </c>
      <c r="B383" s="26" t="s">
        <v>17</v>
      </c>
      <c r="C383" s="26" t="s">
        <v>72</v>
      </c>
      <c r="D383" s="26" t="s">
        <v>29</v>
      </c>
      <c r="E383" s="26" t="n">
        <v>12</v>
      </c>
    </row>
    <row r="384" customFormat="false" ht="15" hidden="false" customHeight="false" outlineLevel="0" collapsed="false">
      <c r="A384" s="25" t="n">
        <v>46223</v>
      </c>
      <c r="B384" s="26" t="s">
        <v>17</v>
      </c>
      <c r="C384" s="26" t="s">
        <v>73</v>
      </c>
      <c r="D384" s="26" t="s">
        <v>27</v>
      </c>
      <c r="E384" s="26" t="n">
        <v>12</v>
      </c>
    </row>
    <row r="385" customFormat="false" ht="15" hidden="false" customHeight="false" outlineLevel="0" collapsed="false">
      <c r="A385" s="25" t="n">
        <v>46223</v>
      </c>
      <c r="B385" s="26" t="s">
        <v>17</v>
      </c>
      <c r="C385" s="26" t="s">
        <v>73</v>
      </c>
      <c r="D385" s="26" t="s">
        <v>27</v>
      </c>
      <c r="E385" s="26" t="n">
        <v>21</v>
      </c>
    </row>
    <row r="386" customFormat="false" ht="15" hidden="false" customHeight="false" outlineLevel="0" collapsed="false">
      <c r="A386" s="25" t="n">
        <v>46223</v>
      </c>
      <c r="B386" s="26" t="s">
        <v>17</v>
      </c>
      <c r="C386" s="26" t="s">
        <v>73</v>
      </c>
      <c r="D386" s="26" t="s">
        <v>26</v>
      </c>
      <c r="E386" s="26" t="n">
        <v>37</v>
      </c>
    </row>
    <row r="387" customFormat="false" ht="15" hidden="false" customHeight="false" outlineLevel="0" collapsed="false">
      <c r="A387" s="25" t="n">
        <v>46223</v>
      </c>
      <c r="B387" s="26" t="s">
        <v>17</v>
      </c>
      <c r="C387" s="26" t="s">
        <v>73</v>
      </c>
      <c r="D387" s="26" t="s">
        <v>26</v>
      </c>
      <c r="E387" s="26" t="n">
        <v>45</v>
      </c>
    </row>
    <row r="388" customFormat="false" ht="15" hidden="false" customHeight="false" outlineLevel="0" collapsed="false">
      <c r="A388" s="25" t="n">
        <v>46223</v>
      </c>
      <c r="B388" s="26" t="s">
        <v>17</v>
      </c>
      <c r="C388" s="26" t="s">
        <v>73</v>
      </c>
      <c r="D388" s="26" t="s">
        <v>26</v>
      </c>
      <c r="E388" s="26" t="n">
        <v>25</v>
      </c>
    </row>
    <row r="389" customFormat="false" ht="15" hidden="false" customHeight="false" outlineLevel="0" collapsed="false">
      <c r="A389" s="25" t="n">
        <v>46223</v>
      </c>
      <c r="B389" s="26" t="s">
        <v>17</v>
      </c>
      <c r="C389" s="26" t="s">
        <v>74</v>
      </c>
      <c r="D389" s="26" t="s">
        <v>28</v>
      </c>
      <c r="E389" s="26" t="n">
        <v>59</v>
      </c>
    </row>
    <row r="390" customFormat="false" ht="15" hidden="false" customHeight="false" outlineLevel="0" collapsed="false">
      <c r="A390" s="25" t="n">
        <v>46223</v>
      </c>
      <c r="B390" s="26" t="s">
        <v>17</v>
      </c>
      <c r="C390" s="26" t="s">
        <v>74</v>
      </c>
      <c r="D390" s="26" t="s">
        <v>30</v>
      </c>
      <c r="E390" s="26" t="n">
        <v>22</v>
      </c>
    </row>
    <row r="391" customFormat="false" ht="15" hidden="false" customHeight="false" outlineLevel="0" collapsed="false">
      <c r="A391" s="25" t="n">
        <v>46223</v>
      </c>
      <c r="B391" s="26" t="s">
        <v>18</v>
      </c>
      <c r="C391" s="26" t="s">
        <v>72</v>
      </c>
      <c r="D391" s="26" t="s">
        <v>26</v>
      </c>
      <c r="E391" s="26" t="n">
        <v>41</v>
      </c>
    </row>
    <row r="392" customFormat="false" ht="15" hidden="false" customHeight="false" outlineLevel="0" collapsed="false">
      <c r="A392" s="25" t="n">
        <v>46223</v>
      </c>
      <c r="B392" s="26" t="s">
        <v>18</v>
      </c>
      <c r="C392" s="26" t="s">
        <v>72</v>
      </c>
      <c r="D392" s="26" t="s">
        <v>28</v>
      </c>
      <c r="E392" s="26" t="n">
        <v>51</v>
      </c>
    </row>
    <row r="393" customFormat="false" ht="15" hidden="false" customHeight="false" outlineLevel="0" collapsed="false">
      <c r="A393" s="25" t="n">
        <v>46223</v>
      </c>
      <c r="B393" s="26" t="s">
        <v>18</v>
      </c>
      <c r="C393" s="26" t="s">
        <v>73</v>
      </c>
      <c r="D393" s="26" t="s">
        <v>31</v>
      </c>
      <c r="E393" s="26" t="n">
        <v>69</v>
      </c>
    </row>
    <row r="394" customFormat="false" ht="15" hidden="false" customHeight="false" outlineLevel="0" collapsed="false">
      <c r="A394" s="25" t="n">
        <v>46223</v>
      </c>
      <c r="B394" s="26" t="s">
        <v>18</v>
      </c>
      <c r="C394" s="26" t="s">
        <v>74</v>
      </c>
      <c r="D394" s="26" t="s">
        <v>27</v>
      </c>
      <c r="E394" s="26" t="n">
        <v>30</v>
      </c>
    </row>
    <row r="395" customFormat="false" ht="15" hidden="false" customHeight="false" outlineLevel="0" collapsed="false">
      <c r="A395" s="25" t="n">
        <v>46223</v>
      </c>
      <c r="B395" s="26" t="s">
        <v>18</v>
      </c>
      <c r="C395" s="26" t="s">
        <v>74</v>
      </c>
      <c r="D395" s="26" t="s">
        <v>32</v>
      </c>
      <c r="E395" s="26" t="n">
        <v>11</v>
      </c>
    </row>
    <row r="396" customFormat="false" ht="15" hidden="false" customHeight="false" outlineLevel="0" collapsed="false">
      <c r="A396" s="25" t="n">
        <v>46223</v>
      </c>
      <c r="B396" s="26" t="s">
        <v>18</v>
      </c>
      <c r="C396" s="26" t="s">
        <v>74</v>
      </c>
      <c r="D396" s="26" t="s">
        <v>27</v>
      </c>
      <c r="E396" s="26" t="n">
        <v>16</v>
      </c>
    </row>
    <row r="397" customFormat="false" ht="15" hidden="false" customHeight="false" outlineLevel="0" collapsed="false">
      <c r="A397" s="25" t="n">
        <v>46223</v>
      </c>
      <c r="B397" s="26" t="s">
        <v>18</v>
      </c>
      <c r="C397" s="26" t="s">
        <v>74</v>
      </c>
      <c r="D397" s="26" t="s">
        <v>26</v>
      </c>
      <c r="E397" s="26" t="n">
        <v>11</v>
      </c>
    </row>
    <row r="398" customFormat="false" ht="15" hidden="false" customHeight="false" outlineLevel="0" collapsed="false">
      <c r="A398" s="25" t="n">
        <v>46224</v>
      </c>
      <c r="B398" s="26" t="s">
        <v>16</v>
      </c>
      <c r="C398" s="26" t="s">
        <v>72</v>
      </c>
      <c r="D398" s="26" t="s">
        <v>31</v>
      </c>
      <c r="E398" s="26" t="n">
        <v>37</v>
      </c>
    </row>
    <row r="399" customFormat="false" ht="15" hidden="false" customHeight="false" outlineLevel="0" collapsed="false">
      <c r="A399" s="25" t="n">
        <v>46224</v>
      </c>
      <c r="B399" s="26" t="s">
        <v>16</v>
      </c>
      <c r="C399" s="26" t="s">
        <v>72</v>
      </c>
      <c r="D399" s="26" t="s">
        <v>29</v>
      </c>
      <c r="E399" s="26" t="n">
        <v>12</v>
      </c>
    </row>
    <row r="400" customFormat="false" ht="15" hidden="false" customHeight="false" outlineLevel="0" collapsed="false">
      <c r="A400" s="25" t="n">
        <v>46224</v>
      </c>
      <c r="B400" s="26" t="s">
        <v>16</v>
      </c>
      <c r="C400" s="26" t="s">
        <v>72</v>
      </c>
      <c r="D400" s="26" t="s">
        <v>31</v>
      </c>
      <c r="E400" s="26" t="n">
        <v>41</v>
      </c>
    </row>
    <row r="401" customFormat="false" ht="15" hidden="false" customHeight="false" outlineLevel="0" collapsed="false">
      <c r="A401" s="25" t="n">
        <v>46224</v>
      </c>
      <c r="B401" s="26" t="s">
        <v>16</v>
      </c>
      <c r="C401" s="26" t="s">
        <v>72</v>
      </c>
      <c r="D401" s="26" t="s">
        <v>27</v>
      </c>
      <c r="E401" s="26" t="n">
        <v>51</v>
      </c>
    </row>
    <row r="402" customFormat="false" ht="15" hidden="false" customHeight="false" outlineLevel="0" collapsed="false">
      <c r="A402" s="25" t="n">
        <v>46224</v>
      </c>
      <c r="B402" s="26" t="s">
        <v>16</v>
      </c>
      <c r="C402" s="26" t="s">
        <v>73</v>
      </c>
      <c r="D402" s="26" t="s">
        <v>27</v>
      </c>
      <c r="E402" s="26" t="n">
        <v>41</v>
      </c>
    </row>
    <row r="403" customFormat="false" ht="15" hidden="false" customHeight="false" outlineLevel="0" collapsed="false">
      <c r="A403" s="25" t="n">
        <v>46224</v>
      </c>
      <c r="B403" s="26" t="s">
        <v>17</v>
      </c>
      <c r="C403" s="26" t="s">
        <v>72</v>
      </c>
      <c r="D403" s="26" t="s">
        <v>26</v>
      </c>
      <c r="E403" s="26" t="n">
        <v>52</v>
      </c>
    </row>
    <row r="404" customFormat="false" ht="15" hidden="false" customHeight="false" outlineLevel="0" collapsed="false">
      <c r="A404" s="25" t="n">
        <v>46224</v>
      </c>
      <c r="B404" s="26" t="s">
        <v>17</v>
      </c>
      <c r="C404" s="26" t="s">
        <v>72</v>
      </c>
      <c r="D404" s="26" t="s">
        <v>26</v>
      </c>
      <c r="E404" s="26" t="n">
        <v>45</v>
      </c>
    </row>
    <row r="405" customFormat="false" ht="15" hidden="false" customHeight="false" outlineLevel="0" collapsed="false">
      <c r="A405" s="25" t="n">
        <v>46224</v>
      </c>
      <c r="B405" s="26" t="s">
        <v>17</v>
      </c>
      <c r="C405" s="26" t="s">
        <v>72</v>
      </c>
      <c r="D405" s="26" t="s">
        <v>29</v>
      </c>
      <c r="E405" s="26" t="n">
        <v>22</v>
      </c>
    </row>
    <row r="406" customFormat="false" ht="15" hidden="false" customHeight="false" outlineLevel="0" collapsed="false">
      <c r="A406" s="25" t="n">
        <v>46224</v>
      </c>
      <c r="B406" s="26" t="s">
        <v>17</v>
      </c>
      <c r="C406" s="26" t="s">
        <v>73</v>
      </c>
      <c r="D406" s="26" t="s">
        <v>26</v>
      </c>
      <c r="E406" s="26" t="n">
        <v>24</v>
      </c>
    </row>
    <row r="407" customFormat="false" ht="15" hidden="false" customHeight="false" outlineLevel="0" collapsed="false">
      <c r="A407" s="25" t="n">
        <v>46224</v>
      </c>
      <c r="B407" s="26" t="s">
        <v>17</v>
      </c>
      <c r="C407" s="26" t="s">
        <v>73</v>
      </c>
      <c r="D407" s="26" t="s">
        <v>30</v>
      </c>
      <c r="E407" s="26" t="n">
        <v>31</v>
      </c>
    </row>
    <row r="408" customFormat="false" ht="15" hidden="false" customHeight="false" outlineLevel="0" collapsed="false">
      <c r="A408" s="25" t="n">
        <v>46224</v>
      </c>
      <c r="B408" s="26" t="s">
        <v>17</v>
      </c>
      <c r="C408" s="26" t="s">
        <v>73</v>
      </c>
      <c r="D408" s="26" t="s">
        <v>26</v>
      </c>
      <c r="E408" s="26" t="n">
        <v>50</v>
      </c>
    </row>
    <row r="409" customFormat="false" ht="15" hidden="false" customHeight="false" outlineLevel="0" collapsed="false">
      <c r="A409" s="25" t="n">
        <v>46224</v>
      </c>
      <c r="B409" s="26" t="s">
        <v>17</v>
      </c>
      <c r="C409" s="26" t="s">
        <v>74</v>
      </c>
      <c r="D409" s="26" t="s">
        <v>29</v>
      </c>
      <c r="E409" s="26" t="n">
        <v>6</v>
      </c>
    </row>
    <row r="410" customFormat="false" ht="15" hidden="false" customHeight="false" outlineLevel="0" collapsed="false">
      <c r="A410" s="25" t="n">
        <v>46224</v>
      </c>
      <c r="B410" s="26" t="s">
        <v>17</v>
      </c>
      <c r="C410" s="26" t="s">
        <v>74</v>
      </c>
      <c r="D410" s="26" t="s">
        <v>29</v>
      </c>
      <c r="E410" s="26" t="n">
        <v>13</v>
      </c>
    </row>
    <row r="411" customFormat="false" ht="15" hidden="false" customHeight="false" outlineLevel="0" collapsed="false">
      <c r="A411" s="25" t="n">
        <v>46224</v>
      </c>
      <c r="B411" s="26" t="s">
        <v>17</v>
      </c>
      <c r="C411" s="26" t="s">
        <v>74</v>
      </c>
      <c r="D411" s="26" t="s">
        <v>29</v>
      </c>
      <c r="E411" s="26" t="n">
        <v>9</v>
      </c>
    </row>
    <row r="412" customFormat="false" ht="15" hidden="false" customHeight="false" outlineLevel="0" collapsed="false">
      <c r="A412" s="25" t="n">
        <v>46224</v>
      </c>
      <c r="B412" s="26" t="s">
        <v>17</v>
      </c>
      <c r="C412" s="26" t="s">
        <v>74</v>
      </c>
      <c r="D412" s="26" t="s">
        <v>28</v>
      </c>
      <c r="E412" s="26" t="n">
        <v>18</v>
      </c>
    </row>
    <row r="413" customFormat="false" ht="15" hidden="false" customHeight="false" outlineLevel="0" collapsed="false">
      <c r="A413" s="25" t="n">
        <v>46224</v>
      </c>
      <c r="B413" s="26" t="s">
        <v>17</v>
      </c>
      <c r="C413" s="26" t="s">
        <v>74</v>
      </c>
      <c r="D413" s="26" t="s">
        <v>26</v>
      </c>
      <c r="E413" s="26" t="n">
        <v>42</v>
      </c>
    </row>
    <row r="414" customFormat="false" ht="15" hidden="false" customHeight="false" outlineLevel="0" collapsed="false">
      <c r="A414" s="25" t="n">
        <v>46224</v>
      </c>
      <c r="B414" s="26" t="s">
        <v>18</v>
      </c>
      <c r="C414" s="26" t="s">
        <v>72</v>
      </c>
      <c r="D414" s="26" t="s">
        <v>32</v>
      </c>
      <c r="E414" s="26" t="n">
        <v>30</v>
      </c>
    </row>
    <row r="415" customFormat="false" ht="15" hidden="false" customHeight="false" outlineLevel="0" collapsed="false">
      <c r="A415" s="25" t="n">
        <v>46224</v>
      </c>
      <c r="B415" s="26" t="s">
        <v>18</v>
      </c>
      <c r="C415" s="26" t="s">
        <v>72</v>
      </c>
      <c r="D415" s="26" t="s">
        <v>27</v>
      </c>
      <c r="E415" s="26" t="n">
        <v>29</v>
      </c>
    </row>
    <row r="416" customFormat="false" ht="15" hidden="false" customHeight="false" outlineLevel="0" collapsed="false">
      <c r="A416" s="25" t="n">
        <v>46224</v>
      </c>
      <c r="B416" s="26" t="s">
        <v>18</v>
      </c>
      <c r="C416" s="26" t="s">
        <v>72</v>
      </c>
      <c r="D416" s="26" t="s">
        <v>31</v>
      </c>
      <c r="E416" s="26" t="n">
        <v>69</v>
      </c>
    </row>
    <row r="417" customFormat="false" ht="15" hidden="false" customHeight="false" outlineLevel="0" collapsed="false">
      <c r="A417" s="25" t="n">
        <v>46224</v>
      </c>
      <c r="B417" s="26" t="s">
        <v>18</v>
      </c>
      <c r="C417" s="26" t="s">
        <v>73</v>
      </c>
      <c r="D417" s="26" t="s">
        <v>31</v>
      </c>
      <c r="E417" s="26" t="n">
        <v>47</v>
      </c>
    </row>
    <row r="418" customFormat="false" ht="15" hidden="false" customHeight="false" outlineLevel="0" collapsed="false">
      <c r="A418" s="25" t="n">
        <v>46224</v>
      </c>
      <c r="B418" s="26" t="s">
        <v>18</v>
      </c>
      <c r="C418" s="26" t="s">
        <v>73</v>
      </c>
      <c r="D418" s="26" t="s">
        <v>29</v>
      </c>
      <c r="E418" s="26" t="n">
        <v>16</v>
      </c>
    </row>
    <row r="419" customFormat="false" ht="15" hidden="false" customHeight="false" outlineLevel="0" collapsed="false">
      <c r="A419" s="25" t="n">
        <v>46224</v>
      </c>
      <c r="B419" s="26" t="s">
        <v>18</v>
      </c>
      <c r="C419" s="26" t="s">
        <v>73</v>
      </c>
      <c r="D419" s="26" t="s">
        <v>27</v>
      </c>
      <c r="E419" s="26" t="n">
        <v>31</v>
      </c>
    </row>
    <row r="420" customFormat="false" ht="15" hidden="false" customHeight="false" outlineLevel="0" collapsed="false">
      <c r="A420" s="25" t="n">
        <v>46224</v>
      </c>
      <c r="B420" s="26" t="s">
        <v>18</v>
      </c>
      <c r="C420" s="26" t="s">
        <v>73</v>
      </c>
      <c r="D420" s="26" t="s">
        <v>28</v>
      </c>
      <c r="E420" s="26" t="n">
        <v>67</v>
      </c>
    </row>
    <row r="421" customFormat="false" ht="15" hidden="false" customHeight="false" outlineLevel="0" collapsed="false">
      <c r="A421" s="25" t="n">
        <v>46224</v>
      </c>
      <c r="B421" s="26" t="s">
        <v>18</v>
      </c>
      <c r="C421" s="26" t="s">
        <v>74</v>
      </c>
      <c r="D421" s="26" t="s">
        <v>32</v>
      </c>
      <c r="E421" s="26" t="n">
        <v>13</v>
      </c>
    </row>
    <row r="422" customFormat="false" ht="15" hidden="false" customHeight="false" outlineLevel="0" collapsed="false">
      <c r="A422" s="25" t="n">
        <v>46225</v>
      </c>
      <c r="B422" s="26" t="s">
        <v>16</v>
      </c>
      <c r="C422" s="26" t="s">
        <v>72</v>
      </c>
      <c r="D422" s="26" t="s">
        <v>31</v>
      </c>
      <c r="E422" s="26" t="n">
        <v>31</v>
      </c>
    </row>
    <row r="423" customFormat="false" ht="15" hidden="false" customHeight="false" outlineLevel="0" collapsed="false">
      <c r="A423" s="25" t="n">
        <v>46225</v>
      </c>
      <c r="B423" s="26" t="s">
        <v>16</v>
      </c>
      <c r="C423" s="26" t="s">
        <v>72</v>
      </c>
      <c r="D423" s="26" t="s">
        <v>31</v>
      </c>
      <c r="E423" s="26" t="n">
        <v>43</v>
      </c>
    </row>
    <row r="424" customFormat="false" ht="15" hidden="false" customHeight="false" outlineLevel="0" collapsed="false">
      <c r="A424" s="25" t="n">
        <v>46225</v>
      </c>
      <c r="B424" s="26" t="s">
        <v>16</v>
      </c>
      <c r="C424" s="26" t="s">
        <v>72</v>
      </c>
      <c r="D424" s="26" t="s">
        <v>30</v>
      </c>
      <c r="E424" s="26" t="n">
        <v>17</v>
      </c>
    </row>
    <row r="425" customFormat="false" ht="15" hidden="false" customHeight="false" outlineLevel="0" collapsed="false">
      <c r="A425" s="25" t="n">
        <v>46225</v>
      </c>
      <c r="B425" s="26" t="s">
        <v>16</v>
      </c>
      <c r="C425" s="26" t="s">
        <v>72</v>
      </c>
      <c r="D425" s="26" t="s">
        <v>27</v>
      </c>
      <c r="E425" s="26" t="n">
        <v>31</v>
      </c>
    </row>
    <row r="426" customFormat="false" ht="15" hidden="false" customHeight="false" outlineLevel="0" collapsed="false">
      <c r="A426" s="25" t="n">
        <v>46225</v>
      </c>
      <c r="B426" s="26" t="s">
        <v>16</v>
      </c>
      <c r="C426" s="26" t="s">
        <v>73</v>
      </c>
      <c r="D426" s="26" t="s">
        <v>26</v>
      </c>
      <c r="E426" s="26" t="n">
        <v>30</v>
      </c>
    </row>
    <row r="427" customFormat="false" ht="15" hidden="false" customHeight="false" outlineLevel="0" collapsed="false">
      <c r="A427" s="25" t="n">
        <v>46225</v>
      </c>
      <c r="B427" s="26" t="s">
        <v>16</v>
      </c>
      <c r="C427" s="26" t="s">
        <v>74</v>
      </c>
      <c r="D427" s="26" t="s">
        <v>30</v>
      </c>
      <c r="E427" s="26" t="n">
        <v>48</v>
      </c>
    </row>
    <row r="428" customFormat="false" ht="15" hidden="false" customHeight="false" outlineLevel="0" collapsed="false">
      <c r="A428" s="25" t="n">
        <v>46225</v>
      </c>
      <c r="B428" s="26" t="s">
        <v>17</v>
      </c>
      <c r="C428" s="26" t="s">
        <v>72</v>
      </c>
      <c r="D428" s="26" t="s">
        <v>26</v>
      </c>
      <c r="E428" s="26" t="n">
        <v>83</v>
      </c>
    </row>
    <row r="429" customFormat="false" ht="15" hidden="false" customHeight="false" outlineLevel="0" collapsed="false">
      <c r="A429" s="25" t="n">
        <v>46225</v>
      </c>
      <c r="B429" s="26" t="s">
        <v>17</v>
      </c>
      <c r="C429" s="26" t="s">
        <v>72</v>
      </c>
      <c r="D429" s="26" t="s">
        <v>27</v>
      </c>
      <c r="E429" s="26" t="n">
        <v>10</v>
      </c>
    </row>
    <row r="430" customFormat="false" ht="15" hidden="false" customHeight="false" outlineLevel="0" collapsed="false">
      <c r="A430" s="25" t="n">
        <v>46225</v>
      </c>
      <c r="B430" s="26" t="s">
        <v>17</v>
      </c>
      <c r="C430" s="26" t="s">
        <v>72</v>
      </c>
      <c r="D430" s="26" t="s">
        <v>29</v>
      </c>
      <c r="E430" s="26" t="n">
        <v>29</v>
      </c>
    </row>
    <row r="431" customFormat="false" ht="15" hidden="false" customHeight="false" outlineLevel="0" collapsed="false">
      <c r="A431" s="25" t="n">
        <v>46225</v>
      </c>
      <c r="B431" s="26" t="s">
        <v>17</v>
      </c>
      <c r="C431" s="26" t="s">
        <v>72</v>
      </c>
      <c r="D431" s="26" t="s">
        <v>28</v>
      </c>
      <c r="E431" s="26" t="n">
        <v>34</v>
      </c>
    </row>
    <row r="432" customFormat="false" ht="15" hidden="false" customHeight="false" outlineLevel="0" collapsed="false">
      <c r="A432" s="25" t="n">
        <v>46225</v>
      </c>
      <c r="B432" s="26" t="s">
        <v>17</v>
      </c>
      <c r="C432" s="26" t="s">
        <v>73</v>
      </c>
      <c r="D432" s="26" t="s">
        <v>30</v>
      </c>
      <c r="E432" s="26" t="n">
        <v>39</v>
      </c>
    </row>
    <row r="433" customFormat="false" ht="15" hidden="false" customHeight="false" outlineLevel="0" collapsed="false">
      <c r="A433" s="25" t="n">
        <v>46225</v>
      </c>
      <c r="B433" s="26" t="s">
        <v>17</v>
      </c>
      <c r="C433" s="26" t="s">
        <v>73</v>
      </c>
      <c r="D433" s="26" t="s">
        <v>29</v>
      </c>
      <c r="E433" s="26" t="n">
        <v>13</v>
      </c>
    </row>
    <row r="434" customFormat="false" ht="15" hidden="false" customHeight="false" outlineLevel="0" collapsed="false">
      <c r="A434" s="25" t="n">
        <v>46225</v>
      </c>
      <c r="B434" s="26" t="s">
        <v>17</v>
      </c>
      <c r="C434" s="26" t="s">
        <v>73</v>
      </c>
      <c r="D434" s="26" t="s">
        <v>26</v>
      </c>
      <c r="E434" s="26" t="n">
        <v>41</v>
      </c>
    </row>
    <row r="435" customFormat="false" ht="15" hidden="false" customHeight="false" outlineLevel="0" collapsed="false">
      <c r="A435" s="25" t="n">
        <v>46225</v>
      </c>
      <c r="B435" s="26" t="s">
        <v>17</v>
      </c>
      <c r="C435" s="26" t="s">
        <v>73</v>
      </c>
      <c r="D435" s="26" t="s">
        <v>27</v>
      </c>
      <c r="E435" s="26" t="n">
        <v>25</v>
      </c>
    </row>
    <row r="436" customFormat="false" ht="15" hidden="false" customHeight="false" outlineLevel="0" collapsed="false">
      <c r="A436" s="25" t="n">
        <v>46225</v>
      </c>
      <c r="B436" s="26" t="s">
        <v>17</v>
      </c>
      <c r="C436" s="26" t="s">
        <v>73</v>
      </c>
      <c r="D436" s="26" t="s">
        <v>26</v>
      </c>
      <c r="E436" s="26" t="n">
        <v>11</v>
      </c>
    </row>
    <row r="437" customFormat="false" ht="15" hidden="false" customHeight="false" outlineLevel="0" collapsed="false">
      <c r="A437" s="25" t="n">
        <v>46225</v>
      </c>
      <c r="B437" s="26" t="s">
        <v>17</v>
      </c>
      <c r="C437" s="26" t="s">
        <v>73</v>
      </c>
      <c r="D437" s="26" t="s">
        <v>29</v>
      </c>
      <c r="E437" s="26" t="n">
        <v>24</v>
      </c>
    </row>
    <row r="438" customFormat="false" ht="15" hidden="false" customHeight="false" outlineLevel="0" collapsed="false">
      <c r="A438" s="25" t="n">
        <v>46225</v>
      </c>
      <c r="B438" s="26" t="s">
        <v>17</v>
      </c>
      <c r="C438" s="26" t="s">
        <v>74</v>
      </c>
      <c r="D438" s="26" t="s">
        <v>26</v>
      </c>
      <c r="E438" s="26" t="n">
        <v>53</v>
      </c>
    </row>
    <row r="439" customFormat="false" ht="15" hidden="false" customHeight="false" outlineLevel="0" collapsed="false">
      <c r="A439" s="25" t="n">
        <v>46225</v>
      </c>
      <c r="B439" s="26" t="s">
        <v>17</v>
      </c>
      <c r="C439" s="26" t="s">
        <v>74</v>
      </c>
      <c r="D439" s="26" t="s">
        <v>28</v>
      </c>
      <c r="E439" s="26" t="n">
        <v>38</v>
      </c>
    </row>
    <row r="440" customFormat="false" ht="15" hidden="false" customHeight="false" outlineLevel="0" collapsed="false">
      <c r="A440" s="25" t="n">
        <v>46225</v>
      </c>
      <c r="B440" s="26" t="s">
        <v>17</v>
      </c>
      <c r="C440" s="26" t="s">
        <v>74</v>
      </c>
      <c r="D440" s="26" t="s">
        <v>30</v>
      </c>
      <c r="E440" s="26" t="n">
        <v>30</v>
      </c>
    </row>
    <row r="441" customFormat="false" ht="15" hidden="false" customHeight="false" outlineLevel="0" collapsed="false">
      <c r="A441" s="25" t="n">
        <v>46225</v>
      </c>
      <c r="B441" s="26" t="s">
        <v>18</v>
      </c>
      <c r="C441" s="26" t="s">
        <v>72</v>
      </c>
      <c r="D441" s="26" t="s">
        <v>26</v>
      </c>
      <c r="E441" s="26" t="n">
        <v>33</v>
      </c>
    </row>
    <row r="442" customFormat="false" ht="15" hidden="false" customHeight="false" outlineLevel="0" collapsed="false">
      <c r="A442" s="25" t="n">
        <v>46225</v>
      </c>
      <c r="B442" s="26" t="s">
        <v>18</v>
      </c>
      <c r="C442" s="26" t="s">
        <v>72</v>
      </c>
      <c r="D442" s="26" t="s">
        <v>27</v>
      </c>
      <c r="E442" s="26" t="n">
        <v>83</v>
      </c>
    </row>
    <row r="443" customFormat="false" ht="15" hidden="false" customHeight="false" outlineLevel="0" collapsed="false">
      <c r="A443" s="25" t="n">
        <v>46225</v>
      </c>
      <c r="B443" s="26" t="s">
        <v>18</v>
      </c>
      <c r="C443" s="26" t="s">
        <v>72</v>
      </c>
      <c r="D443" s="26" t="s">
        <v>28</v>
      </c>
      <c r="E443" s="26" t="n">
        <v>55</v>
      </c>
    </row>
    <row r="444" customFormat="false" ht="15" hidden="false" customHeight="false" outlineLevel="0" collapsed="false">
      <c r="A444" s="25" t="n">
        <v>46225</v>
      </c>
      <c r="B444" s="26" t="s">
        <v>18</v>
      </c>
      <c r="C444" s="26" t="s">
        <v>72</v>
      </c>
      <c r="D444" s="26" t="s">
        <v>26</v>
      </c>
      <c r="E444" s="26" t="n">
        <v>34</v>
      </c>
    </row>
    <row r="445" customFormat="false" ht="15" hidden="false" customHeight="false" outlineLevel="0" collapsed="false">
      <c r="A445" s="25" t="n">
        <v>46225</v>
      </c>
      <c r="B445" s="26" t="s">
        <v>18</v>
      </c>
      <c r="C445" s="26" t="s">
        <v>73</v>
      </c>
      <c r="D445" s="26" t="s">
        <v>26</v>
      </c>
      <c r="E445" s="26" t="n">
        <v>21</v>
      </c>
    </row>
    <row r="446" customFormat="false" ht="15" hidden="false" customHeight="false" outlineLevel="0" collapsed="false">
      <c r="A446" s="25" t="n">
        <v>46225</v>
      </c>
      <c r="B446" s="26" t="s">
        <v>18</v>
      </c>
      <c r="C446" s="26" t="s">
        <v>73</v>
      </c>
      <c r="D446" s="26" t="s">
        <v>26</v>
      </c>
      <c r="E446" s="26" t="n">
        <v>30</v>
      </c>
    </row>
    <row r="447" customFormat="false" ht="15" hidden="false" customHeight="false" outlineLevel="0" collapsed="false">
      <c r="A447" s="25" t="n">
        <v>46225</v>
      </c>
      <c r="B447" s="26" t="s">
        <v>18</v>
      </c>
      <c r="C447" s="26" t="s">
        <v>73</v>
      </c>
      <c r="D447" s="26" t="s">
        <v>27</v>
      </c>
      <c r="E447" s="26" t="n">
        <v>44</v>
      </c>
    </row>
    <row r="448" customFormat="false" ht="15" hidden="false" customHeight="false" outlineLevel="0" collapsed="false">
      <c r="A448" s="25" t="n">
        <v>46225</v>
      </c>
      <c r="B448" s="26" t="s">
        <v>18</v>
      </c>
      <c r="C448" s="26" t="s">
        <v>74</v>
      </c>
      <c r="D448" s="26" t="s">
        <v>28</v>
      </c>
      <c r="E448" s="26" t="n">
        <v>116</v>
      </c>
    </row>
    <row r="449" customFormat="false" ht="15" hidden="false" customHeight="false" outlineLevel="0" collapsed="false">
      <c r="A449" s="25" t="n">
        <v>46225</v>
      </c>
      <c r="B449" s="26" t="s">
        <v>18</v>
      </c>
      <c r="C449" s="26" t="s">
        <v>74</v>
      </c>
      <c r="D449" s="26" t="s">
        <v>28</v>
      </c>
      <c r="E449" s="26" t="n">
        <v>37</v>
      </c>
    </row>
    <row r="450" customFormat="false" ht="15" hidden="false" customHeight="false" outlineLevel="0" collapsed="false">
      <c r="A450" s="25" t="n">
        <v>46225</v>
      </c>
      <c r="B450" s="26" t="s">
        <v>18</v>
      </c>
      <c r="C450" s="26" t="s">
        <v>74</v>
      </c>
      <c r="D450" s="26" t="s">
        <v>30</v>
      </c>
      <c r="E450" s="26" t="n">
        <v>37</v>
      </c>
    </row>
    <row r="451" customFormat="false" ht="15" hidden="false" customHeight="false" outlineLevel="0" collapsed="false">
      <c r="A451" s="25" t="n">
        <v>46225</v>
      </c>
      <c r="B451" s="26" t="s">
        <v>18</v>
      </c>
      <c r="C451" s="26" t="s">
        <v>74</v>
      </c>
      <c r="D451" s="26" t="s">
        <v>30</v>
      </c>
      <c r="E451" s="26" t="n">
        <v>28</v>
      </c>
    </row>
    <row r="452" customFormat="false" ht="15" hidden="false" customHeight="false" outlineLevel="0" collapsed="false">
      <c r="A452" s="25" t="n">
        <v>46226</v>
      </c>
      <c r="B452" s="26" t="s">
        <v>16</v>
      </c>
      <c r="C452" s="26" t="s">
        <v>72</v>
      </c>
      <c r="D452" s="26" t="s">
        <v>31</v>
      </c>
      <c r="E452" s="26" t="n">
        <v>32</v>
      </c>
    </row>
    <row r="453" customFormat="false" ht="15" hidden="false" customHeight="false" outlineLevel="0" collapsed="false">
      <c r="A453" s="25" t="n">
        <v>46226</v>
      </c>
      <c r="B453" s="26" t="s">
        <v>16</v>
      </c>
      <c r="C453" s="26" t="s">
        <v>72</v>
      </c>
      <c r="D453" s="26" t="s">
        <v>26</v>
      </c>
      <c r="E453" s="26" t="n">
        <v>76</v>
      </c>
    </row>
    <row r="454" customFormat="false" ht="15" hidden="false" customHeight="false" outlineLevel="0" collapsed="false">
      <c r="A454" s="25" t="n">
        <v>46226</v>
      </c>
      <c r="B454" s="26" t="s">
        <v>16</v>
      </c>
      <c r="C454" s="26" t="s">
        <v>73</v>
      </c>
      <c r="D454" s="26" t="s">
        <v>27</v>
      </c>
      <c r="E454" s="26" t="n">
        <v>12</v>
      </c>
    </row>
    <row r="455" customFormat="false" ht="15" hidden="false" customHeight="false" outlineLevel="0" collapsed="false">
      <c r="A455" s="25" t="n">
        <v>46226</v>
      </c>
      <c r="B455" s="26" t="s">
        <v>16</v>
      </c>
      <c r="C455" s="26" t="s">
        <v>73</v>
      </c>
      <c r="D455" s="26" t="s">
        <v>26</v>
      </c>
      <c r="E455" s="26" t="n">
        <v>25</v>
      </c>
    </row>
    <row r="456" customFormat="false" ht="15" hidden="false" customHeight="false" outlineLevel="0" collapsed="false">
      <c r="A456" s="25" t="n">
        <v>46226</v>
      </c>
      <c r="B456" s="26" t="s">
        <v>16</v>
      </c>
      <c r="C456" s="26" t="s">
        <v>73</v>
      </c>
      <c r="D456" s="26" t="s">
        <v>29</v>
      </c>
      <c r="E456" s="26" t="n">
        <v>25</v>
      </c>
    </row>
    <row r="457" customFormat="false" ht="15" hidden="false" customHeight="false" outlineLevel="0" collapsed="false">
      <c r="A457" s="25" t="n">
        <v>46226</v>
      </c>
      <c r="B457" s="26" t="s">
        <v>16</v>
      </c>
      <c r="C457" s="26" t="s">
        <v>73</v>
      </c>
      <c r="D457" s="26" t="s">
        <v>26</v>
      </c>
      <c r="E457" s="26" t="n">
        <v>30</v>
      </c>
    </row>
    <row r="458" customFormat="false" ht="15" hidden="false" customHeight="false" outlineLevel="0" collapsed="false">
      <c r="A458" s="25" t="n">
        <v>46226</v>
      </c>
      <c r="B458" s="26" t="s">
        <v>16</v>
      </c>
      <c r="C458" s="26" t="s">
        <v>74</v>
      </c>
      <c r="D458" s="26" t="s">
        <v>26</v>
      </c>
      <c r="E458" s="26" t="n">
        <v>87</v>
      </c>
    </row>
    <row r="459" customFormat="false" ht="15" hidden="false" customHeight="false" outlineLevel="0" collapsed="false">
      <c r="A459" s="25" t="n">
        <v>46226</v>
      </c>
      <c r="B459" s="26" t="s">
        <v>16</v>
      </c>
      <c r="C459" s="26" t="s">
        <v>74</v>
      </c>
      <c r="D459" s="26" t="s">
        <v>27</v>
      </c>
      <c r="E459" s="26" t="n">
        <v>18</v>
      </c>
    </row>
    <row r="460" customFormat="false" ht="15" hidden="false" customHeight="false" outlineLevel="0" collapsed="false">
      <c r="A460" s="25" t="n">
        <v>46226</v>
      </c>
      <c r="B460" s="26" t="s">
        <v>16</v>
      </c>
      <c r="C460" s="26" t="s">
        <v>74</v>
      </c>
      <c r="D460" s="26" t="s">
        <v>26</v>
      </c>
      <c r="E460" s="26" t="n">
        <v>18</v>
      </c>
    </row>
    <row r="461" customFormat="false" ht="15" hidden="false" customHeight="false" outlineLevel="0" collapsed="false">
      <c r="A461" s="25" t="n">
        <v>46226</v>
      </c>
      <c r="B461" s="26" t="s">
        <v>16</v>
      </c>
      <c r="C461" s="26" t="s">
        <v>74</v>
      </c>
      <c r="D461" s="26" t="s">
        <v>27</v>
      </c>
      <c r="E461" s="26" t="n">
        <v>27</v>
      </c>
    </row>
    <row r="462" customFormat="false" ht="15" hidden="false" customHeight="false" outlineLevel="0" collapsed="false">
      <c r="A462" s="25" t="n">
        <v>46226</v>
      </c>
      <c r="B462" s="26" t="s">
        <v>17</v>
      </c>
      <c r="C462" s="26" t="s">
        <v>72</v>
      </c>
      <c r="D462" s="26" t="s">
        <v>26</v>
      </c>
      <c r="E462" s="26" t="n">
        <v>29</v>
      </c>
    </row>
    <row r="463" customFormat="false" ht="15" hidden="false" customHeight="false" outlineLevel="0" collapsed="false">
      <c r="A463" s="25" t="n">
        <v>46226</v>
      </c>
      <c r="B463" s="26" t="s">
        <v>17</v>
      </c>
      <c r="C463" s="26" t="s">
        <v>72</v>
      </c>
      <c r="D463" s="26" t="s">
        <v>29</v>
      </c>
      <c r="E463" s="26" t="n">
        <v>17</v>
      </c>
    </row>
    <row r="464" customFormat="false" ht="15" hidden="false" customHeight="false" outlineLevel="0" collapsed="false">
      <c r="A464" s="25" t="n">
        <v>46226</v>
      </c>
      <c r="B464" s="26" t="s">
        <v>17</v>
      </c>
      <c r="C464" s="26" t="s">
        <v>72</v>
      </c>
      <c r="D464" s="26" t="s">
        <v>29</v>
      </c>
      <c r="E464" s="26" t="n">
        <v>27</v>
      </c>
    </row>
    <row r="465" customFormat="false" ht="15" hidden="false" customHeight="false" outlineLevel="0" collapsed="false">
      <c r="A465" s="25" t="n">
        <v>46226</v>
      </c>
      <c r="B465" s="26" t="s">
        <v>17</v>
      </c>
      <c r="C465" s="26" t="s">
        <v>73</v>
      </c>
      <c r="D465" s="26" t="s">
        <v>26</v>
      </c>
      <c r="E465" s="26" t="n">
        <v>16</v>
      </c>
    </row>
    <row r="466" customFormat="false" ht="15" hidden="false" customHeight="false" outlineLevel="0" collapsed="false">
      <c r="A466" s="25" t="n">
        <v>46226</v>
      </c>
      <c r="B466" s="26" t="s">
        <v>17</v>
      </c>
      <c r="C466" s="26" t="s">
        <v>74</v>
      </c>
      <c r="D466" s="26" t="s">
        <v>26</v>
      </c>
      <c r="E466" s="26" t="n">
        <v>67</v>
      </c>
    </row>
    <row r="467" customFormat="false" ht="15" hidden="false" customHeight="false" outlineLevel="0" collapsed="false">
      <c r="A467" s="25" t="n">
        <v>46226</v>
      </c>
      <c r="B467" s="26" t="s">
        <v>18</v>
      </c>
      <c r="C467" s="26" t="s">
        <v>72</v>
      </c>
      <c r="D467" s="26" t="s">
        <v>26</v>
      </c>
      <c r="E467" s="26" t="n">
        <v>41</v>
      </c>
    </row>
    <row r="468" customFormat="false" ht="15" hidden="false" customHeight="false" outlineLevel="0" collapsed="false">
      <c r="A468" s="25" t="n">
        <v>46226</v>
      </c>
      <c r="B468" s="26" t="s">
        <v>18</v>
      </c>
      <c r="C468" s="26" t="s">
        <v>72</v>
      </c>
      <c r="D468" s="26" t="s">
        <v>26</v>
      </c>
      <c r="E468" s="26" t="n">
        <v>26</v>
      </c>
    </row>
    <row r="469" customFormat="false" ht="15" hidden="false" customHeight="false" outlineLevel="0" collapsed="false">
      <c r="A469" s="25" t="n">
        <v>46226</v>
      </c>
      <c r="B469" s="26" t="s">
        <v>18</v>
      </c>
      <c r="C469" s="26" t="s">
        <v>73</v>
      </c>
      <c r="D469" s="26" t="s">
        <v>29</v>
      </c>
      <c r="E469" s="26" t="n">
        <v>9</v>
      </c>
    </row>
    <row r="470" customFormat="false" ht="15" hidden="false" customHeight="false" outlineLevel="0" collapsed="false">
      <c r="A470" s="25" t="n">
        <v>46226</v>
      </c>
      <c r="B470" s="26" t="s">
        <v>18</v>
      </c>
      <c r="C470" s="26" t="s">
        <v>73</v>
      </c>
      <c r="D470" s="26" t="s">
        <v>27</v>
      </c>
      <c r="E470" s="26" t="n">
        <v>17</v>
      </c>
    </row>
    <row r="471" customFormat="false" ht="15" hidden="false" customHeight="false" outlineLevel="0" collapsed="false">
      <c r="A471" s="25" t="n">
        <v>46226</v>
      </c>
      <c r="B471" s="26" t="s">
        <v>18</v>
      </c>
      <c r="C471" s="26" t="s">
        <v>73</v>
      </c>
      <c r="D471" s="26" t="s">
        <v>26</v>
      </c>
      <c r="E471" s="26" t="n">
        <v>52</v>
      </c>
    </row>
    <row r="472" customFormat="false" ht="15" hidden="false" customHeight="false" outlineLevel="0" collapsed="false">
      <c r="A472" s="25" t="n">
        <v>46226</v>
      </c>
      <c r="B472" s="26" t="s">
        <v>18</v>
      </c>
      <c r="C472" s="26" t="s">
        <v>74</v>
      </c>
      <c r="D472" s="26" t="s">
        <v>28</v>
      </c>
      <c r="E472" s="26" t="n">
        <v>19</v>
      </c>
    </row>
    <row r="473" customFormat="false" ht="15" hidden="false" customHeight="false" outlineLevel="0" collapsed="false">
      <c r="A473" s="25" t="n">
        <v>46226</v>
      </c>
      <c r="B473" s="26" t="s">
        <v>18</v>
      </c>
      <c r="C473" s="26" t="s">
        <v>74</v>
      </c>
      <c r="D473" s="26" t="s">
        <v>32</v>
      </c>
      <c r="E473" s="26" t="n">
        <v>15</v>
      </c>
    </row>
    <row r="474" customFormat="false" ht="15" hidden="false" customHeight="false" outlineLevel="0" collapsed="false">
      <c r="A474" s="25" t="n">
        <v>46227</v>
      </c>
      <c r="B474" s="26" t="s">
        <v>16</v>
      </c>
      <c r="C474" s="26" t="s">
        <v>72</v>
      </c>
      <c r="D474" s="26" t="s">
        <v>27</v>
      </c>
      <c r="E474" s="26" t="n">
        <v>60</v>
      </c>
    </row>
    <row r="475" customFormat="false" ht="15" hidden="false" customHeight="false" outlineLevel="0" collapsed="false">
      <c r="A475" s="25" t="n">
        <v>46227</v>
      </c>
      <c r="B475" s="26" t="s">
        <v>16</v>
      </c>
      <c r="C475" s="26" t="s">
        <v>72</v>
      </c>
      <c r="D475" s="26" t="s">
        <v>31</v>
      </c>
      <c r="E475" s="26" t="n">
        <v>79</v>
      </c>
    </row>
    <row r="476" customFormat="false" ht="15" hidden="false" customHeight="false" outlineLevel="0" collapsed="false">
      <c r="A476" s="25" t="n">
        <v>46227</v>
      </c>
      <c r="B476" s="26" t="s">
        <v>16</v>
      </c>
      <c r="C476" s="26" t="s">
        <v>72</v>
      </c>
      <c r="D476" s="26" t="s">
        <v>28</v>
      </c>
      <c r="E476" s="26" t="n">
        <v>33</v>
      </c>
    </row>
    <row r="477" customFormat="false" ht="15" hidden="false" customHeight="false" outlineLevel="0" collapsed="false">
      <c r="A477" s="25" t="n">
        <v>46227</v>
      </c>
      <c r="B477" s="26" t="s">
        <v>17</v>
      </c>
      <c r="C477" s="26" t="s">
        <v>72</v>
      </c>
      <c r="D477" s="26" t="s">
        <v>26</v>
      </c>
      <c r="E477" s="26" t="n">
        <v>18</v>
      </c>
    </row>
    <row r="478" customFormat="false" ht="15" hidden="false" customHeight="false" outlineLevel="0" collapsed="false">
      <c r="A478" s="25" t="n">
        <v>46227</v>
      </c>
      <c r="B478" s="26" t="s">
        <v>17</v>
      </c>
      <c r="C478" s="26" t="s">
        <v>72</v>
      </c>
      <c r="D478" s="26" t="s">
        <v>29</v>
      </c>
      <c r="E478" s="26" t="n">
        <v>9</v>
      </c>
    </row>
    <row r="479" customFormat="false" ht="15" hidden="false" customHeight="false" outlineLevel="0" collapsed="false">
      <c r="A479" s="25" t="n">
        <v>46227</v>
      </c>
      <c r="B479" s="26" t="s">
        <v>17</v>
      </c>
      <c r="C479" s="26" t="s">
        <v>72</v>
      </c>
      <c r="D479" s="26" t="s">
        <v>28</v>
      </c>
      <c r="E479" s="26" t="n">
        <v>61</v>
      </c>
    </row>
    <row r="480" customFormat="false" ht="15" hidden="false" customHeight="false" outlineLevel="0" collapsed="false">
      <c r="A480" s="25" t="n">
        <v>46227</v>
      </c>
      <c r="B480" s="26" t="s">
        <v>17</v>
      </c>
      <c r="C480" s="26" t="s">
        <v>72</v>
      </c>
      <c r="D480" s="26" t="s">
        <v>27</v>
      </c>
      <c r="E480" s="26" t="n">
        <v>12</v>
      </c>
    </row>
    <row r="481" customFormat="false" ht="15" hidden="false" customHeight="false" outlineLevel="0" collapsed="false">
      <c r="A481" s="25" t="n">
        <v>46227</v>
      </c>
      <c r="B481" s="26" t="s">
        <v>17</v>
      </c>
      <c r="C481" s="26" t="s">
        <v>72</v>
      </c>
      <c r="D481" s="26" t="s">
        <v>26</v>
      </c>
      <c r="E481" s="26" t="n">
        <v>83</v>
      </c>
    </row>
    <row r="482" customFormat="false" ht="15" hidden="false" customHeight="false" outlineLevel="0" collapsed="false">
      <c r="A482" s="25" t="n">
        <v>46227</v>
      </c>
      <c r="B482" s="26" t="s">
        <v>17</v>
      </c>
      <c r="C482" s="26" t="s">
        <v>73</v>
      </c>
      <c r="D482" s="26" t="s">
        <v>26</v>
      </c>
      <c r="E482" s="26" t="n">
        <v>26</v>
      </c>
    </row>
    <row r="483" customFormat="false" ht="15" hidden="false" customHeight="false" outlineLevel="0" collapsed="false">
      <c r="A483" s="25" t="n">
        <v>46227</v>
      </c>
      <c r="B483" s="26" t="s">
        <v>17</v>
      </c>
      <c r="C483" s="26" t="s">
        <v>74</v>
      </c>
      <c r="D483" s="26" t="s">
        <v>27</v>
      </c>
      <c r="E483" s="26" t="n">
        <v>7</v>
      </c>
    </row>
    <row r="484" customFormat="false" ht="15" hidden="false" customHeight="false" outlineLevel="0" collapsed="false">
      <c r="A484" s="25" t="n">
        <v>46227</v>
      </c>
      <c r="B484" s="26" t="s">
        <v>17</v>
      </c>
      <c r="C484" s="26" t="s">
        <v>74</v>
      </c>
      <c r="D484" s="26" t="s">
        <v>27</v>
      </c>
      <c r="E484" s="26" t="n">
        <v>23</v>
      </c>
    </row>
    <row r="485" customFormat="false" ht="15" hidden="false" customHeight="false" outlineLevel="0" collapsed="false">
      <c r="A485" s="25" t="n">
        <v>46227</v>
      </c>
      <c r="B485" s="26" t="s">
        <v>18</v>
      </c>
      <c r="C485" s="26" t="s">
        <v>72</v>
      </c>
      <c r="D485" s="26" t="s">
        <v>29</v>
      </c>
      <c r="E485" s="26" t="n">
        <v>23</v>
      </c>
    </row>
    <row r="486" customFormat="false" ht="15" hidden="false" customHeight="false" outlineLevel="0" collapsed="false">
      <c r="A486" s="25" t="n">
        <v>46227</v>
      </c>
      <c r="B486" s="26" t="s">
        <v>18</v>
      </c>
      <c r="C486" s="26" t="s">
        <v>72</v>
      </c>
      <c r="D486" s="26" t="s">
        <v>28</v>
      </c>
      <c r="E486" s="26" t="n">
        <v>42</v>
      </c>
    </row>
    <row r="487" customFormat="false" ht="15" hidden="false" customHeight="false" outlineLevel="0" collapsed="false">
      <c r="A487" s="25" t="n">
        <v>46227</v>
      </c>
      <c r="B487" s="26" t="s">
        <v>18</v>
      </c>
      <c r="C487" s="26" t="s">
        <v>72</v>
      </c>
      <c r="D487" s="26" t="s">
        <v>30</v>
      </c>
      <c r="E487" s="26" t="n">
        <v>21</v>
      </c>
    </row>
    <row r="488" customFormat="false" ht="15" hidden="false" customHeight="false" outlineLevel="0" collapsed="false">
      <c r="A488" s="25" t="n">
        <v>46227</v>
      </c>
      <c r="B488" s="26" t="s">
        <v>18</v>
      </c>
      <c r="C488" s="26" t="s">
        <v>73</v>
      </c>
      <c r="D488" s="26" t="s">
        <v>30</v>
      </c>
      <c r="E488" s="26" t="n">
        <v>34</v>
      </c>
    </row>
    <row r="489" customFormat="false" ht="15" hidden="false" customHeight="false" outlineLevel="0" collapsed="false">
      <c r="A489" s="25" t="n">
        <v>46227</v>
      </c>
      <c r="B489" s="26" t="s">
        <v>18</v>
      </c>
      <c r="C489" s="26" t="s">
        <v>73</v>
      </c>
      <c r="D489" s="26" t="s">
        <v>29</v>
      </c>
      <c r="E489" s="26" t="n">
        <v>14</v>
      </c>
    </row>
    <row r="490" customFormat="false" ht="15" hidden="false" customHeight="false" outlineLevel="0" collapsed="false">
      <c r="A490" s="25" t="n">
        <v>46227</v>
      </c>
      <c r="B490" s="26" t="s">
        <v>18</v>
      </c>
      <c r="C490" s="26" t="s">
        <v>73</v>
      </c>
      <c r="D490" s="26" t="s">
        <v>26</v>
      </c>
      <c r="E490" s="26" t="n">
        <v>16</v>
      </c>
    </row>
    <row r="491" customFormat="false" ht="15" hidden="false" customHeight="false" outlineLevel="0" collapsed="false">
      <c r="A491" s="25" t="n">
        <v>46227</v>
      </c>
      <c r="B491" s="26" t="s">
        <v>18</v>
      </c>
      <c r="C491" s="26" t="s">
        <v>73</v>
      </c>
      <c r="D491" s="26" t="s">
        <v>28</v>
      </c>
      <c r="E491" s="26" t="n">
        <v>45</v>
      </c>
    </row>
    <row r="492" customFormat="false" ht="15" hidden="false" customHeight="false" outlineLevel="0" collapsed="false">
      <c r="A492" s="25" t="n">
        <v>46227</v>
      </c>
      <c r="B492" s="26" t="s">
        <v>18</v>
      </c>
      <c r="C492" s="26" t="s">
        <v>73</v>
      </c>
      <c r="D492" s="26" t="s">
        <v>26</v>
      </c>
      <c r="E492" s="26" t="n">
        <v>63</v>
      </c>
    </row>
    <row r="493" customFormat="false" ht="15" hidden="false" customHeight="false" outlineLevel="0" collapsed="false">
      <c r="A493" s="25" t="n">
        <v>46227</v>
      </c>
      <c r="B493" s="26" t="s">
        <v>18</v>
      </c>
      <c r="C493" s="26" t="s">
        <v>74</v>
      </c>
      <c r="D493" s="26" t="s">
        <v>26</v>
      </c>
      <c r="E493" s="26" t="n">
        <v>36</v>
      </c>
    </row>
    <row r="494" customFormat="false" ht="15" hidden="false" customHeight="false" outlineLevel="0" collapsed="false">
      <c r="A494" s="25" t="n">
        <v>46227</v>
      </c>
      <c r="B494" s="26" t="s">
        <v>18</v>
      </c>
      <c r="C494" s="26" t="s">
        <v>74</v>
      </c>
      <c r="D494" s="26" t="s">
        <v>30</v>
      </c>
      <c r="E494" s="26" t="n">
        <v>35</v>
      </c>
    </row>
    <row r="495" customFormat="false" ht="15" hidden="false" customHeight="false" outlineLevel="0" collapsed="false">
      <c r="A495" s="25" t="n">
        <v>46227</v>
      </c>
      <c r="B495" s="26" t="s">
        <v>18</v>
      </c>
      <c r="C495" s="26" t="s">
        <v>74</v>
      </c>
      <c r="D495" s="26" t="s">
        <v>27</v>
      </c>
      <c r="E495" s="26" t="n">
        <v>54</v>
      </c>
    </row>
    <row r="496" customFormat="false" ht="15" hidden="false" customHeight="false" outlineLevel="0" collapsed="false">
      <c r="A496" s="25" t="n">
        <v>46228</v>
      </c>
      <c r="B496" s="26" t="s">
        <v>16</v>
      </c>
      <c r="C496" s="26" t="s">
        <v>72</v>
      </c>
      <c r="D496" s="26" t="s">
        <v>29</v>
      </c>
      <c r="E496" s="26" t="n">
        <v>11</v>
      </c>
    </row>
    <row r="497" customFormat="false" ht="15" hidden="false" customHeight="false" outlineLevel="0" collapsed="false">
      <c r="A497" s="25" t="n">
        <v>46228</v>
      </c>
      <c r="B497" s="26" t="s">
        <v>16</v>
      </c>
      <c r="C497" s="26" t="s">
        <v>72</v>
      </c>
      <c r="D497" s="26" t="s">
        <v>31</v>
      </c>
      <c r="E497" s="26" t="n">
        <v>39</v>
      </c>
    </row>
    <row r="498" customFormat="false" ht="15" hidden="false" customHeight="false" outlineLevel="0" collapsed="false">
      <c r="A498" s="25" t="n">
        <v>46228</v>
      </c>
      <c r="B498" s="26" t="s">
        <v>16</v>
      </c>
      <c r="C498" s="26" t="s">
        <v>73</v>
      </c>
      <c r="D498" s="26" t="s">
        <v>30</v>
      </c>
      <c r="E498" s="26" t="n">
        <v>36</v>
      </c>
    </row>
    <row r="499" customFormat="false" ht="15" hidden="false" customHeight="false" outlineLevel="0" collapsed="false">
      <c r="A499" s="25" t="n">
        <v>46228</v>
      </c>
      <c r="B499" s="26" t="s">
        <v>16</v>
      </c>
      <c r="C499" s="26" t="s">
        <v>73</v>
      </c>
      <c r="D499" s="26" t="s">
        <v>26</v>
      </c>
      <c r="E499" s="26" t="n">
        <v>45</v>
      </c>
    </row>
    <row r="500" customFormat="false" ht="15" hidden="false" customHeight="false" outlineLevel="0" collapsed="false">
      <c r="A500" s="25" t="n">
        <v>46228</v>
      </c>
      <c r="B500" s="26" t="s">
        <v>16</v>
      </c>
      <c r="C500" s="26" t="s">
        <v>74</v>
      </c>
      <c r="D500" s="26" t="s">
        <v>27</v>
      </c>
      <c r="E500" s="26" t="n">
        <v>21</v>
      </c>
    </row>
    <row r="501" customFormat="false" ht="15" hidden="false" customHeight="false" outlineLevel="0" collapsed="false">
      <c r="A501" s="25" t="n">
        <v>46228</v>
      </c>
      <c r="B501" s="26" t="s">
        <v>17</v>
      </c>
      <c r="C501" s="26" t="s">
        <v>72</v>
      </c>
      <c r="D501" s="26" t="s">
        <v>26</v>
      </c>
      <c r="E501" s="26" t="n">
        <v>45</v>
      </c>
    </row>
    <row r="502" customFormat="false" ht="15" hidden="false" customHeight="false" outlineLevel="0" collapsed="false">
      <c r="A502" s="25" t="n">
        <v>46228</v>
      </c>
      <c r="B502" s="26" t="s">
        <v>17</v>
      </c>
      <c r="C502" s="26" t="s">
        <v>73</v>
      </c>
      <c r="D502" s="26" t="s">
        <v>27</v>
      </c>
      <c r="E502" s="26" t="n">
        <v>18</v>
      </c>
    </row>
    <row r="503" customFormat="false" ht="15" hidden="false" customHeight="false" outlineLevel="0" collapsed="false">
      <c r="A503" s="25" t="n">
        <v>46228</v>
      </c>
      <c r="B503" s="26" t="s">
        <v>17</v>
      </c>
      <c r="C503" s="26" t="s">
        <v>73</v>
      </c>
      <c r="D503" s="26" t="s">
        <v>30</v>
      </c>
      <c r="E503" s="26" t="n">
        <v>28</v>
      </c>
    </row>
    <row r="504" customFormat="false" ht="15" hidden="false" customHeight="false" outlineLevel="0" collapsed="false">
      <c r="A504" s="25" t="n">
        <v>46228</v>
      </c>
      <c r="B504" s="26" t="s">
        <v>17</v>
      </c>
      <c r="C504" s="26" t="s">
        <v>73</v>
      </c>
      <c r="D504" s="26" t="s">
        <v>26</v>
      </c>
      <c r="E504" s="26" t="n">
        <v>31</v>
      </c>
    </row>
    <row r="505" customFormat="false" ht="15" hidden="false" customHeight="false" outlineLevel="0" collapsed="false">
      <c r="A505" s="25" t="n">
        <v>46228</v>
      </c>
      <c r="B505" s="26" t="s">
        <v>17</v>
      </c>
      <c r="C505" s="26" t="s">
        <v>74</v>
      </c>
      <c r="D505" s="26" t="s">
        <v>26</v>
      </c>
      <c r="E505" s="26" t="n">
        <v>15</v>
      </c>
    </row>
    <row r="506" customFormat="false" ht="15" hidden="false" customHeight="false" outlineLevel="0" collapsed="false">
      <c r="A506" s="25" t="n">
        <v>46228</v>
      </c>
      <c r="B506" s="26" t="s">
        <v>17</v>
      </c>
      <c r="C506" s="26" t="s">
        <v>74</v>
      </c>
      <c r="D506" s="26" t="s">
        <v>26</v>
      </c>
      <c r="E506" s="26" t="n">
        <v>24</v>
      </c>
    </row>
    <row r="507" customFormat="false" ht="15" hidden="false" customHeight="false" outlineLevel="0" collapsed="false">
      <c r="A507" s="25" t="n">
        <v>46228</v>
      </c>
      <c r="B507" s="26" t="s">
        <v>17</v>
      </c>
      <c r="C507" s="26" t="s">
        <v>74</v>
      </c>
      <c r="D507" s="26" t="s">
        <v>26</v>
      </c>
      <c r="E507" s="26" t="n">
        <v>26</v>
      </c>
    </row>
    <row r="508" customFormat="false" ht="15" hidden="false" customHeight="false" outlineLevel="0" collapsed="false">
      <c r="A508" s="25" t="n">
        <v>46228</v>
      </c>
      <c r="B508" s="26" t="s">
        <v>18</v>
      </c>
      <c r="C508" s="26" t="s">
        <v>72</v>
      </c>
      <c r="D508" s="26" t="s">
        <v>29</v>
      </c>
      <c r="E508" s="26" t="n">
        <v>10</v>
      </c>
    </row>
    <row r="509" customFormat="false" ht="15" hidden="false" customHeight="false" outlineLevel="0" collapsed="false">
      <c r="A509" s="25" t="n">
        <v>46228</v>
      </c>
      <c r="B509" s="26" t="s">
        <v>18</v>
      </c>
      <c r="C509" s="26" t="s">
        <v>72</v>
      </c>
      <c r="D509" s="26" t="s">
        <v>29</v>
      </c>
      <c r="E509" s="26" t="n">
        <v>9</v>
      </c>
    </row>
    <row r="510" customFormat="false" ht="15" hidden="false" customHeight="false" outlineLevel="0" collapsed="false">
      <c r="A510" s="25" t="n">
        <v>46228</v>
      </c>
      <c r="B510" s="26" t="s">
        <v>18</v>
      </c>
      <c r="C510" s="26" t="s">
        <v>72</v>
      </c>
      <c r="D510" s="26" t="s">
        <v>32</v>
      </c>
      <c r="E510" s="26" t="n">
        <v>43</v>
      </c>
    </row>
    <row r="511" customFormat="false" ht="15" hidden="false" customHeight="false" outlineLevel="0" collapsed="false">
      <c r="A511" s="25" t="n">
        <v>46228</v>
      </c>
      <c r="B511" s="26" t="s">
        <v>18</v>
      </c>
      <c r="C511" s="26" t="s">
        <v>73</v>
      </c>
      <c r="D511" s="26" t="s">
        <v>32</v>
      </c>
      <c r="E511" s="26" t="n">
        <v>5</v>
      </c>
    </row>
    <row r="512" customFormat="false" ht="15" hidden="false" customHeight="false" outlineLevel="0" collapsed="false">
      <c r="A512" s="25" t="n">
        <v>46228</v>
      </c>
      <c r="B512" s="26" t="s">
        <v>18</v>
      </c>
      <c r="C512" s="26" t="s">
        <v>73</v>
      </c>
      <c r="D512" s="26" t="s">
        <v>28</v>
      </c>
      <c r="E512" s="26" t="n">
        <v>50</v>
      </c>
    </row>
    <row r="513" customFormat="false" ht="15" hidden="false" customHeight="false" outlineLevel="0" collapsed="false">
      <c r="A513" s="25" t="n">
        <v>46228</v>
      </c>
      <c r="B513" s="26" t="s">
        <v>18</v>
      </c>
      <c r="C513" s="26" t="s">
        <v>73</v>
      </c>
      <c r="D513" s="26" t="s">
        <v>26</v>
      </c>
      <c r="E513" s="26" t="n">
        <v>38</v>
      </c>
    </row>
    <row r="514" customFormat="false" ht="15" hidden="false" customHeight="false" outlineLevel="0" collapsed="false">
      <c r="A514" s="25" t="n">
        <v>46228</v>
      </c>
      <c r="B514" s="26" t="s">
        <v>18</v>
      </c>
      <c r="C514" s="26" t="s">
        <v>73</v>
      </c>
      <c r="D514" s="26" t="s">
        <v>26</v>
      </c>
      <c r="E514" s="26" t="n">
        <v>38</v>
      </c>
    </row>
    <row r="515" customFormat="false" ht="15" hidden="false" customHeight="false" outlineLevel="0" collapsed="false">
      <c r="A515" s="25" t="n">
        <v>46229</v>
      </c>
      <c r="B515" s="26" t="s">
        <v>16</v>
      </c>
      <c r="C515" s="26" t="s">
        <v>72</v>
      </c>
      <c r="D515" s="26" t="s">
        <v>29</v>
      </c>
      <c r="E515" s="26" t="n">
        <v>13</v>
      </c>
    </row>
    <row r="516" customFormat="false" ht="15" hidden="false" customHeight="false" outlineLevel="0" collapsed="false">
      <c r="A516" s="25" t="n">
        <v>46229</v>
      </c>
      <c r="B516" s="26" t="s">
        <v>16</v>
      </c>
      <c r="C516" s="26" t="s">
        <v>72</v>
      </c>
      <c r="D516" s="26" t="s">
        <v>26</v>
      </c>
      <c r="E516" s="26" t="n">
        <v>23</v>
      </c>
    </row>
    <row r="517" customFormat="false" ht="15" hidden="false" customHeight="false" outlineLevel="0" collapsed="false">
      <c r="A517" s="25" t="n">
        <v>46229</v>
      </c>
      <c r="B517" s="26" t="s">
        <v>16</v>
      </c>
      <c r="C517" s="26" t="s">
        <v>72</v>
      </c>
      <c r="D517" s="26" t="s">
        <v>30</v>
      </c>
      <c r="E517" s="26" t="n">
        <v>14</v>
      </c>
    </row>
    <row r="518" customFormat="false" ht="15" hidden="false" customHeight="false" outlineLevel="0" collapsed="false">
      <c r="A518" s="25" t="n">
        <v>46229</v>
      </c>
      <c r="B518" s="26" t="s">
        <v>16</v>
      </c>
      <c r="C518" s="26" t="s">
        <v>73</v>
      </c>
      <c r="D518" s="26" t="s">
        <v>30</v>
      </c>
      <c r="E518" s="26" t="n">
        <v>18</v>
      </c>
    </row>
    <row r="519" customFormat="false" ht="15" hidden="false" customHeight="false" outlineLevel="0" collapsed="false">
      <c r="A519" s="25" t="n">
        <v>46229</v>
      </c>
      <c r="B519" s="26" t="s">
        <v>16</v>
      </c>
      <c r="C519" s="26" t="s">
        <v>74</v>
      </c>
      <c r="D519" s="26" t="s">
        <v>30</v>
      </c>
      <c r="E519" s="26" t="n">
        <v>23</v>
      </c>
    </row>
    <row r="520" customFormat="false" ht="15" hidden="false" customHeight="false" outlineLevel="0" collapsed="false">
      <c r="A520" s="25" t="n">
        <v>46229</v>
      </c>
      <c r="B520" s="26" t="s">
        <v>17</v>
      </c>
      <c r="C520" s="26" t="s">
        <v>72</v>
      </c>
      <c r="D520" s="26" t="s">
        <v>32</v>
      </c>
      <c r="E520" s="26" t="n">
        <v>7</v>
      </c>
    </row>
    <row r="521" customFormat="false" ht="15" hidden="false" customHeight="false" outlineLevel="0" collapsed="false">
      <c r="A521" s="25" t="n">
        <v>46229</v>
      </c>
      <c r="B521" s="26" t="s">
        <v>17</v>
      </c>
      <c r="C521" s="26" t="s">
        <v>72</v>
      </c>
      <c r="D521" s="26" t="s">
        <v>29</v>
      </c>
      <c r="E521" s="26" t="n">
        <v>15</v>
      </c>
    </row>
    <row r="522" customFormat="false" ht="15" hidden="false" customHeight="false" outlineLevel="0" collapsed="false">
      <c r="A522" s="25" t="n">
        <v>46229</v>
      </c>
      <c r="B522" s="26" t="s">
        <v>17</v>
      </c>
      <c r="C522" s="26" t="s">
        <v>72</v>
      </c>
      <c r="D522" s="26" t="s">
        <v>27</v>
      </c>
      <c r="E522" s="26" t="n">
        <v>27</v>
      </c>
    </row>
    <row r="523" customFormat="false" ht="15" hidden="false" customHeight="false" outlineLevel="0" collapsed="false">
      <c r="A523" s="25" t="n">
        <v>46229</v>
      </c>
      <c r="B523" s="26" t="s">
        <v>17</v>
      </c>
      <c r="C523" s="26" t="s">
        <v>72</v>
      </c>
      <c r="D523" s="26" t="s">
        <v>26</v>
      </c>
      <c r="E523" s="26" t="n">
        <v>21</v>
      </c>
    </row>
    <row r="524" customFormat="false" ht="15" hidden="false" customHeight="false" outlineLevel="0" collapsed="false">
      <c r="A524" s="25" t="n">
        <v>46229</v>
      </c>
      <c r="B524" s="26" t="s">
        <v>17</v>
      </c>
      <c r="C524" s="26" t="s">
        <v>72</v>
      </c>
      <c r="D524" s="26" t="s">
        <v>26</v>
      </c>
      <c r="E524" s="26" t="n">
        <v>22</v>
      </c>
    </row>
    <row r="525" customFormat="false" ht="15" hidden="false" customHeight="false" outlineLevel="0" collapsed="false">
      <c r="A525" s="25" t="n">
        <v>46229</v>
      </c>
      <c r="B525" s="26" t="s">
        <v>17</v>
      </c>
      <c r="C525" s="26" t="s">
        <v>73</v>
      </c>
      <c r="D525" s="26" t="s">
        <v>28</v>
      </c>
      <c r="E525" s="26" t="n">
        <v>19</v>
      </c>
    </row>
    <row r="526" customFormat="false" ht="15" hidden="false" customHeight="false" outlineLevel="0" collapsed="false">
      <c r="A526" s="25" t="n">
        <v>46229</v>
      </c>
      <c r="B526" s="26" t="s">
        <v>17</v>
      </c>
      <c r="C526" s="26" t="s">
        <v>73</v>
      </c>
      <c r="D526" s="26" t="s">
        <v>29</v>
      </c>
      <c r="E526" s="26" t="n">
        <v>19</v>
      </c>
    </row>
    <row r="527" customFormat="false" ht="15" hidden="false" customHeight="false" outlineLevel="0" collapsed="false">
      <c r="A527" s="25" t="n">
        <v>46229</v>
      </c>
      <c r="B527" s="26" t="s">
        <v>17</v>
      </c>
      <c r="C527" s="26" t="s">
        <v>73</v>
      </c>
      <c r="D527" s="26" t="s">
        <v>26</v>
      </c>
      <c r="E527" s="26" t="n">
        <v>21</v>
      </c>
    </row>
    <row r="528" customFormat="false" ht="15" hidden="false" customHeight="false" outlineLevel="0" collapsed="false">
      <c r="A528" s="25" t="n">
        <v>46229</v>
      </c>
      <c r="B528" s="26" t="s">
        <v>17</v>
      </c>
      <c r="C528" s="26" t="s">
        <v>74</v>
      </c>
      <c r="D528" s="26" t="s">
        <v>29</v>
      </c>
      <c r="E528" s="26" t="n">
        <v>13</v>
      </c>
    </row>
    <row r="529" customFormat="false" ht="15" hidden="false" customHeight="false" outlineLevel="0" collapsed="false">
      <c r="A529" s="25" t="n">
        <v>46229</v>
      </c>
      <c r="B529" s="26" t="s">
        <v>17</v>
      </c>
      <c r="C529" s="26" t="s">
        <v>74</v>
      </c>
      <c r="D529" s="26" t="s">
        <v>26</v>
      </c>
      <c r="E529" s="26" t="n">
        <v>51</v>
      </c>
    </row>
    <row r="530" customFormat="false" ht="15" hidden="false" customHeight="false" outlineLevel="0" collapsed="false">
      <c r="A530" s="25" t="n">
        <v>46229</v>
      </c>
      <c r="B530" s="26" t="s">
        <v>17</v>
      </c>
      <c r="C530" s="26" t="s">
        <v>74</v>
      </c>
      <c r="D530" s="26" t="s">
        <v>31</v>
      </c>
      <c r="E530" s="26" t="n">
        <v>66</v>
      </c>
    </row>
    <row r="531" customFormat="false" ht="15" hidden="false" customHeight="false" outlineLevel="0" collapsed="false">
      <c r="A531" s="25" t="n">
        <v>46229</v>
      </c>
      <c r="B531" s="26" t="s">
        <v>18</v>
      </c>
      <c r="C531" s="26" t="s">
        <v>72</v>
      </c>
      <c r="D531" s="26" t="s">
        <v>28</v>
      </c>
      <c r="E531" s="26" t="n">
        <v>69</v>
      </c>
    </row>
    <row r="532" customFormat="false" ht="15" hidden="false" customHeight="false" outlineLevel="0" collapsed="false">
      <c r="A532" s="25" t="n">
        <v>46229</v>
      </c>
      <c r="B532" s="26" t="s">
        <v>18</v>
      </c>
      <c r="C532" s="26" t="s">
        <v>72</v>
      </c>
      <c r="D532" s="26" t="s">
        <v>26</v>
      </c>
      <c r="E532" s="26" t="n">
        <v>20</v>
      </c>
    </row>
    <row r="533" customFormat="false" ht="15" hidden="false" customHeight="false" outlineLevel="0" collapsed="false">
      <c r="A533" s="25" t="n">
        <v>46229</v>
      </c>
      <c r="B533" s="26" t="s">
        <v>18</v>
      </c>
      <c r="C533" s="26" t="s">
        <v>73</v>
      </c>
      <c r="D533" s="26" t="s">
        <v>27</v>
      </c>
      <c r="E533" s="26" t="n">
        <v>28</v>
      </c>
    </row>
    <row r="534" customFormat="false" ht="15" hidden="false" customHeight="false" outlineLevel="0" collapsed="false">
      <c r="A534" s="25" t="n">
        <v>46229</v>
      </c>
      <c r="B534" s="26" t="s">
        <v>18</v>
      </c>
      <c r="C534" s="26" t="s">
        <v>73</v>
      </c>
      <c r="D534" s="26" t="s">
        <v>26</v>
      </c>
      <c r="E534" s="26" t="n">
        <v>26</v>
      </c>
    </row>
    <row r="535" customFormat="false" ht="15" hidden="false" customHeight="false" outlineLevel="0" collapsed="false">
      <c r="A535" s="25" t="n">
        <v>46229</v>
      </c>
      <c r="B535" s="26" t="s">
        <v>18</v>
      </c>
      <c r="C535" s="26" t="s">
        <v>73</v>
      </c>
      <c r="D535" s="26" t="s">
        <v>31</v>
      </c>
      <c r="E535" s="26" t="n">
        <v>39</v>
      </c>
    </row>
    <row r="536" customFormat="false" ht="15" hidden="false" customHeight="false" outlineLevel="0" collapsed="false">
      <c r="A536" s="25" t="n">
        <v>46229</v>
      </c>
      <c r="B536" s="26" t="s">
        <v>18</v>
      </c>
      <c r="C536" s="26" t="s">
        <v>73</v>
      </c>
      <c r="D536" s="26" t="s">
        <v>26</v>
      </c>
      <c r="E536" s="26" t="n">
        <v>37</v>
      </c>
    </row>
    <row r="537" customFormat="false" ht="15" hidden="false" customHeight="false" outlineLevel="0" collapsed="false">
      <c r="A537" s="25" t="n">
        <v>46229</v>
      </c>
      <c r="B537" s="26" t="s">
        <v>18</v>
      </c>
      <c r="C537" s="26" t="s">
        <v>73</v>
      </c>
      <c r="D537" s="26" t="s">
        <v>26</v>
      </c>
      <c r="E537" s="26" t="n">
        <v>40</v>
      </c>
    </row>
    <row r="538" customFormat="false" ht="15" hidden="false" customHeight="false" outlineLevel="0" collapsed="false">
      <c r="A538" s="25" t="n">
        <v>46229</v>
      </c>
      <c r="B538" s="26" t="s">
        <v>18</v>
      </c>
      <c r="C538" s="26" t="s">
        <v>73</v>
      </c>
      <c r="D538" s="26" t="s">
        <v>32</v>
      </c>
      <c r="E538" s="26" t="n">
        <v>14</v>
      </c>
    </row>
    <row r="539" customFormat="false" ht="15" hidden="false" customHeight="false" outlineLevel="0" collapsed="false">
      <c r="A539" s="25" t="n">
        <v>46229</v>
      </c>
      <c r="B539" s="26" t="s">
        <v>18</v>
      </c>
      <c r="C539" s="26" t="s">
        <v>73</v>
      </c>
      <c r="D539" s="26" t="s">
        <v>27</v>
      </c>
      <c r="E539" s="26" t="n">
        <v>22</v>
      </c>
    </row>
    <row r="540" customFormat="false" ht="15" hidden="false" customHeight="false" outlineLevel="0" collapsed="false">
      <c r="A540" s="25" t="n">
        <v>46229</v>
      </c>
      <c r="B540" s="26" t="s">
        <v>18</v>
      </c>
      <c r="C540" s="26" t="s">
        <v>74</v>
      </c>
      <c r="D540" s="26" t="s">
        <v>29</v>
      </c>
      <c r="E540" s="26" t="n">
        <v>18</v>
      </c>
    </row>
    <row r="541" customFormat="false" ht="15" hidden="false" customHeight="false" outlineLevel="0" collapsed="false">
      <c r="A541" s="25" t="n">
        <v>46230</v>
      </c>
      <c r="B541" s="26" t="s">
        <v>16</v>
      </c>
      <c r="C541" s="26" t="s">
        <v>73</v>
      </c>
      <c r="D541" s="26" t="s">
        <v>27</v>
      </c>
      <c r="E541" s="26" t="n">
        <v>21</v>
      </c>
    </row>
    <row r="542" customFormat="false" ht="15" hidden="false" customHeight="false" outlineLevel="0" collapsed="false">
      <c r="A542" s="25" t="n">
        <v>46230</v>
      </c>
      <c r="B542" s="26" t="s">
        <v>16</v>
      </c>
      <c r="C542" s="26" t="s">
        <v>73</v>
      </c>
      <c r="D542" s="26" t="s">
        <v>32</v>
      </c>
      <c r="E542" s="26" t="n">
        <v>21</v>
      </c>
    </row>
    <row r="543" customFormat="false" ht="15" hidden="false" customHeight="false" outlineLevel="0" collapsed="false">
      <c r="A543" s="25" t="n">
        <v>46230</v>
      </c>
      <c r="B543" s="26" t="s">
        <v>16</v>
      </c>
      <c r="C543" s="26" t="s">
        <v>73</v>
      </c>
      <c r="D543" s="26" t="s">
        <v>30</v>
      </c>
      <c r="E543" s="26" t="n">
        <v>26</v>
      </c>
    </row>
    <row r="544" customFormat="false" ht="15" hidden="false" customHeight="false" outlineLevel="0" collapsed="false">
      <c r="A544" s="25" t="n">
        <v>46230</v>
      </c>
      <c r="B544" s="26" t="s">
        <v>16</v>
      </c>
      <c r="C544" s="26" t="s">
        <v>73</v>
      </c>
      <c r="D544" s="26" t="s">
        <v>32</v>
      </c>
      <c r="E544" s="26" t="n">
        <v>15</v>
      </c>
    </row>
    <row r="545" customFormat="false" ht="15" hidden="false" customHeight="false" outlineLevel="0" collapsed="false">
      <c r="A545" s="25" t="n">
        <v>46230</v>
      </c>
      <c r="B545" s="26" t="s">
        <v>16</v>
      </c>
      <c r="C545" s="26" t="s">
        <v>74</v>
      </c>
      <c r="D545" s="26" t="s">
        <v>26</v>
      </c>
      <c r="E545" s="26" t="n">
        <v>31</v>
      </c>
    </row>
    <row r="546" customFormat="false" ht="15" hidden="false" customHeight="false" outlineLevel="0" collapsed="false">
      <c r="A546" s="25" t="n">
        <v>46230</v>
      </c>
      <c r="B546" s="26" t="s">
        <v>16</v>
      </c>
      <c r="C546" s="26" t="s">
        <v>74</v>
      </c>
      <c r="D546" s="26" t="s">
        <v>29</v>
      </c>
      <c r="E546" s="26" t="n">
        <v>9</v>
      </c>
    </row>
    <row r="547" customFormat="false" ht="15" hidden="false" customHeight="false" outlineLevel="0" collapsed="false">
      <c r="A547" s="25" t="n">
        <v>46230</v>
      </c>
      <c r="B547" s="26" t="s">
        <v>17</v>
      </c>
      <c r="C547" s="26" t="s">
        <v>72</v>
      </c>
      <c r="D547" s="26" t="s">
        <v>31</v>
      </c>
      <c r="E547" s="26" t="n">
        <v>16</v>
      </c>
    </row>
    <row r="548" customFormat="false" ht="15" hidden="false" customHeight="false" outlineLevel="0" collapsed="false">
      <c r="A548" s="25" t="n">
        <v>46230</v>
      </c>
      <c r="B548" s="26" t="s">
        <v>17</v>
      </c>
      <c r="C548" s="26" t="s">
        <v>72</v>
      </c>
      <c r="D548" s="26" t="s">
        <v>27</v>
      </c>
      <c r="E548" s="26" t="n">
        <v>22</v>
      </c>
    </row>
    <row r="549" customFormat="false" ht="15" hidden="false" customHeight="false" outlineLevel="0" collapsed="false">
      <c r="A549" s="25" t="n">
        <v>46230</v>
      </c>
      <c r="B549" s="26" t="s">
        <v>17</v>
      </c>
      <c r="C549" s="26" t="s">
        <v>72</v>
      </c>
      <c r="D549" s="26" t="s">
        <v>30</v>
      </c>
      <c r="E549" s="26" t="n">
        <v>38</v>
      </c>
    </row>
    <row r="550" customFormat="false" ht="15" hidden="false" customHeight="false" outlineLevel="0" collapsed="false">
      <c r="A550" s="25" t="n">
        <v>46230</v>
      </c>
      <c r="B550" s="26" t="s">
        <v>17</v>
      </c>
      <c r="C550" s="26" t="s">
        <v>72</v>
      </c>
      <c r="D550" s="26" t="s">
        <v>30</v>
      </c>
      <c r="E550" s="26" t="n">
        <v>33</v>
      </c>
    </row>
    <row r="551" customFormat="false" ht="15" hidden="false" customHeight="false" outlineLevel="0" collapsed="false">
      <c r="A551" s="25" t="n">
        <v>46230</v>
      </c>
      <c r="B551" s="26" t="s">
        <v>17</v>
      </c>
      <c r="C551" s="26" t="s">
        <v>73</v>
      </c>
      <c r="D551" s="26" t="s">
        <v>28</v>
      </c>
      <c r="E551" s="26" t="n">
        <v>17</v>
      </c>
    </row>
    <row r="552" customFormat="false" ht="15" hidden="false" customHeight="false" outlineLevel="0" collapsed="false">
      <c r="A552" s="25" t="n">
        <v>46230</v>
      </c>
      <c r="B552" s="26" t="s">
        <v>17</v>
      </c>
      <c r="C552" s="26" t="s">
        <v>73</v>
      </c>
      <c r="D552" s="26" t="s">
        <v>26</v>
      </c>
      <c r="E552" s="26" t="n">
        <v>31</v>
      </c>
    </row>
    <row r="553" customFormat="false" ht="15" hidden="false" customHeight="false" outlineLevel="0" collapsed="false">
      <c r="A553" s="25" t="n">
        <v>46230</v>
      </c>
      <c r="B553" s="26" t="s">
        <v>17</v>
      </c>
      <c r="C553" s="26" t="s">
        <v>73</v>
      </c>
      <c r="D553" s="26" t="s">
        <v>26</v>
      </c>
      <c r="E553" s="26" t="n">
        <v>32</v>
      </c>
    </row>
    <row r="554" customFormat="false" ht="15" hidden="false" customHeight="false" outlineLevel="0" collapsed="false">
      <c r="A554" s="25" t="n">
        <v>46230</v>
      </c>
      <c r="B554" s="26" t="s">
        <v>17</v>
      </c>
      <c r="C554" s="26" t="s">
        <v>73</v>
      </c>
      <c r="D554" s="26" t="s">
        <v>26</v>
      </c>
      <c r="E554" s="26" t="n">
        <v>29</v>
      </c>
    </row>
    <row r="555" customFormat="false" ht="15" hidden="false" customHeight="false" outlineLevel="0" collapsed="false">
      <c r="A555" s="25" t="n">
        <v>46230</v>
      </c>
      <c r="B555" s="26" t="s">
        <v>17</v>
      </c>
      <c r="C555" s="26" t="s">
        <v>73</v>
      </c>
      <c r="D555" s="26" t="s">
        <v>26</v>
      </c>
      <c r="E555" s="26" t="n">
        <v>39</v>
      </c>
    </row>
    <row r="556" customFormat="false" ht="15" hidden="false" customHeight="false" outlineLevel="0" collapsed="false">
      <c r="A556" s="25" t="n">
        <v>46230</v>
      </c>
      <c r="B556" s="26" t="s">
        <v>17</v>
      </c>
      <c r="C556" s="26" t="s">
        <v>74</v>
      </c>
      <c r="D556" s="26" t="s">
        <v>29</v>
      </c>
      <c r="E556" s="26" t="n">
        <v>11</v>
      </c>
    </row>
    <row r="557" customFormat="false" ht="15" hidden="false" customHeight="false" outlineLevel="0" collapsed="false">
      <c r="A557" s="25" t="n">
        <v>46230</v>
      </c>
      <c r="B557" s="26" t="s">
        <v>17</v>
      </c>
      <c r="C557" s="26" t="s">
        <v>74</v>
      </c>
      <c r="D557" s="26" t="s">
        <v>28</v>
      </c>
      <c r="E557" s="26" t="n">
        <v>54</v>
      </c>
    </row>
    <row r="558" customFormat="false" ht="15" hidden="false" customHeight="false" outlineLevel="0" collapsed="false">
      <c r="A558" s="25" t="n">
        <v>46230</v>
      </c>
      <c r="B558" s="26" t="s">
        <v>17</v>
      </c>
      <c r="C558" s="26" t="s">
        <v>74</v>
      </c>
      <c r="D558" s="26" t="s">
        <v>27</v>
      </c>
      <c r="E558" s="26" t="n">
        <v>14</v>
      </c>
    </row>
    <row r="559" customFormat="false" ht="15" hidden="false" customHeight="false" outlineLevel="0" collapsed="false">
      <c r="A559" s="25" t="n">
        <v>46230</v>
      </c>
      <c r="B559" s="26" t="s">
        <v>17</v>
      </c>
      <c r="C559" s="26" t="s">
        <v>74</v>
      </c>
      <c r="D559" s="26" t="s">
        <v>29</v>
      </c>
      <c r="E559" s="26" t="n">
        <v>12</v>
      </c>
    </row>
    <row r="560" customFormat="false" ht="15" hidden="false" customHeight="false" outlineLevel="0" collapsed="false">
      <c r="A560" s="25" t="n">
        <v>46230</v>
      </c>
      <c r="B560" s="26" t="s">
        <v>17</v>
      </c>
      <c r="C560" s="26" t="s">
        <v>74</v>
      </c>
      <c r="D560" s="26" t="s">
        <v>26</v>
      </c>
      <c r="E560" s="26" t="n">
        <v>51</v>
      </c>
    </row>
    <row r="561" customFormat="false" ht="15" hidden="false" customHeight="false" outlineLevel="0" collapsed="false">
      <c r="A561" s="25" t="n">
        <v>46230</v>
      </c>
      <c r="B561" s="26" t="s">
        <v>18</v>
      </c>
      <c r="C561" s="26" t="s">
        <v>72</v>
      </c>
      <c r="D561" s="26" t="s">
        <v>28</v>
      </c>
      <c r="E561" s="26" t="n">
        <v>19</v>
      </c>
    </row>
    <row r="562" customFormat="false" ht="15" hidden="false" customHeight="false" outlineLevel="0" collapsed="false">
      <c r="A562" s="25" t="n">
        <v>46230</v>
      </c>
      <c r="B562" s="26" t="s">
        <v>18</v>
      </c>
      <c r="C562" s="26" t="s">
        <v>72</v>
      </c>
      <c r="D562" s="26" t="s">
        <v>30</v>
      </c>
      <c r="E562" s="26" t="n">
        <v>34</v>
      </c>
    </row>
    <row r="563" customFormat="false" ht="15" hidden="false" customHeight="false" outlineLevel="0" collapsed="false">
      <c r="A563" s="25" t="n">
        <v>46230</v>
      </c>
      <c r="B563" s="26" t="s">
        <v>18</v>
      </c>
      <c r="C563" s="26" t="s">
        <v>72</v>
      </c>
      <c r="D563" s="26" t="s">
        <v>26</v>
      </c>
      <c r="E563" s="26" t="n">
        <v>24</v>
      </c>
    </row>
    <row r="564" customFormat="false" ht="15" hidden="false" customHeight="false" outlineLevel="0" collapsed="false">
      <c r="A564" s="25" t="n">
        <v>46230</v>
      </c>
      <c r="B564" s="26" t="s">
        <v>18</v>
      </c>
      <c r="C564" s="26" t="s">
        <v>72</v>
      </c>
      <c r="D564" s="26" t="s">
        <v>31</v>
      </c>
      <c r="E564" s="26" t="n">
        <v>95</v>
      </c>
    </row>
    <row r="565" customFormat="false" ht="15" hidden="false" customHeight="false" outlineLevel="0" collapsed="false">
      <c r="A565" s="25" t="n">
        <v>46230</v>
      </c>
      <c r="B565" s="26" t="s">
        <v>18</v>
      </c>
      <c r="C565" s="26" t="s">
        <v>72</v>
      </c>
      <c r="D565" s="26" t="s">
        <v>27</v>
      </c>
      <c r="E565" s="26" t="n">
        <v>31</v>
      </c>
    </row>
    <row r="566" customFormat="false" ht="15" hidden="false" customHeight="false" outlineLevel="0" collapsed="false">
      <c r="A566" s="25" t="n">
        <v>46230</v>
      </c>
      <c r="B566" s="26" t="s">
        <v>18</v>
      </c>
      <c r="C566" s="26" t="s">
        <v>73</v>
      </c>
      <c r="D566" s="26" t="s">
        <v>27</v>
      </c>
      <c r="E566" s="26" t="n">
        <v>16</v>
      </c>
    </row>
    <row r="567" customFormat="false" ht="15" hidden="false" customHeight="false" outlineLevel="0" collapsed="false">
      <c r="A567" s="25" t="n">
        <v>46230</v>
      </c>
      <c r="B567" s="26" t="s">
        <v>18</v>
      </c>
      <c r="C567" s="26" t="s">
        <v>73</v>
      </c>
      <c r="D567" s="26" t="s">
        <v>29</v>
      </c>
      <c r="E567" s="26" t="n">
        <v>20</v>
      </c>
    </row>
    <row r="568" customFormat="false" ht="15" hidden="false" customHeight="false" outlineLevel="0" collapsed="false">
      <c r="A568" s="25" t="n">
        <v>46230</v>
      </c>
      <c r="B568" s="26" t="s">
        <v>18</v>
      </c>
      <c r="C568" s="26" t="s">
        <v>74</v>
      </c>
      <c r="D568" s="26" t="s">
        <v>28</v>
      </c>
      <c r="E568" s="26" t="n">
        <v>120</v>
      </c>
    </row>
    <row r="569" customFormat="false" ht="15" hidden="false" customHeight="false" outlineLevel="0" collapsed="false">
      <c r="A569" s="25" t="n">
        <v>46230</v>
      </c>
      <c r="B569" s="26" t="s">
        <v>18</v>
      </c>
      <c r="C569" s="26" t="s">
        <v>74</v>
      </c>
      <c r="D569" s="26" t="s">
        <v>27</v>
      </c>
      <c r="E569" s="26" t="n">
        <v>23</v>
      </c>
    </row>
    <row r="570" customFormat="false" ht="15" hidden="false" customHeight="false" outlineLevel="0" collapsed="false">
      <c r="A570" s="25" t="n">
        <v>46230</v>
      </c>
      <c r="B570" s="26" t="s">
        <v>18</v>
      </c>
      <c r="C570" s="26" t="s">
        <v>74</v>
      </c>
      <c r="D570" s="26" t="s">
        <v>26</v>
      </c>
      <c r="E570" s="26" t="n">
        <v>38</v>
      </c>
    </row>
    <row r="571" customFormat="false" ht="15" hidden="false" customHeight="false" outlineLevel="0" collapsed="false">
      <c r="A571" s="25" t="n">
        <v>46230</v>
      </c>
      <c r="B571" s="26" t="s">
        <v>18</v>
      </c>
      <c r="C571" s="26" t="s">
        <v>74</v>
      </c>
      <c r="D571" s="26" t="s">
        <v>27</v>
      </c>
      <c r="E571" s="26" t="n">
        <v>28</v>
      </c>
    </row>
    <row r="572" customFormat="false" ht="15" hidden="false" customHeight="false" outlineLevel="0" collapsed="false">
      <c r="A572" s="25" t="n">
        <v>46230</v>
      </c>
      <c r="B572" s="26" t="s">
        <v>18</v>
      </c>
      <c r="C572" s="26" t="s">
        <v>74</v>
      </c>
      <c r="D572" s="26" t="s">
        <v>29</v>
      </c>
      <c r="E572" s="26" t="n">
        <v>7</v>
      </c>
    </row>
    <row r="573" customFormat="false" ht="15" hidden="false" customHeight="false" outlineLevel="0" collapsed="false">
      <c r="A573" s="25" t="n">
        <v>46231</v>
      </c>
      <c r="B573" s="26" t="s">
        <v>16</v>
      </c>
      <c r="C573" s="26" t="s">
        <v>72</v>
      </c>
      <c r="D573" s="26" t="s">
        <v>32</v>
      </c>
      <c r="E573" s="26" t="n">
        <v>31</v>
      </c>
    </row>
    <row r="574" customFormat="false" ht="15" hidden="false" customHeight="false" outlineLevel="0" collapsed="false">
      <c r="A574" s="25" t="n">
        <v>46231</v>
      </c>
      <c r="B574" s="26" t="s">
        <v>16</v>
      </c>
      <c r="C574" s="26" t="s">
        <v>72</v>
      </c>
      <c r="D574" s="26" t="s">
        <v>29</v>
      </c>
      <c r="E574" s="26" t="n">
        <v>30</v>
      </c>
    </row>
    <row r="575" customFormat="false" ht="15" hidden="false" customHeight="false" outlineLevel="0" collapsed="false">
      <c r="A575" s="25" t="n">
        <v>46231</v>
      </c>
      <c r="B575" s="26" t="s">
        <v>16</v>
      </c>
      <c r="C575" s="26" t="s">
        <v>72</v>
      </c>
      <c r="D575" s="26" t="s">
        <v>28</v>
      </c>
      <c r="E575" s="26" t="n">
        <v>54</v>
      </c>
    </row>
    <row r="576" customFormat="false" ht="15" hidden="false" customHeight="false" outlineLevel="0" collapsed="false">
      <c r="A576" s="25" t="n">
        <v>46231</v>
      </c>
      <c r="B576" s="26" t="s">
        <v>16</v>
      </c>
      <c r="C576" s="26" t="s">
        <v>73</v>
      </c>
      <c r="D576" s="26" t="s">
        <v>27</v>
      </c>
      <c r="E576" s="26" t="n">
        <v>10</v>
      </c>
    </row>
    <row r="577" customFormat="false" ht="15" hidden="false" customHeight="false" outlineLevel="0" collapsed="false">
      <c r="A577" s="25" t="n">
        <v>46231</v>
      </c>
      <c r="B577" s="26" t="s">
        <v>16</v>
      </c>
      <c r="C577" s="26" t="s">
        <v>73</v>
      </c>
      <c r="D577" s="26" t="s">
        <v>30</v>
      </c>
      <c r="E577" s="26" t="n">
        <v>38</v>
      </c>
    </row>
    <row r="578" customFormat="false" ht="15" hidden="false" customHeight="false" outlineLevel="0" collapsed="false">
      <c r="A578" s="25" t="n">
        <v>46231</v>
      </c>
      <c r="B578" s="26" t="s">
        <v>17</v>
      </c>
      <c r="C578" s="26" t="s">
        <v>72</v>
      </c>
      <c r="D578" s="26" t="s">
        <v>30</v>
      </c>
      <c r="E578" s="26" t="n">
        <v>30</v>
      </c>
    </row>
    <row r="579" customFormat="false" ht="15" hidden="false" customHeight="false" outlineLevel="0" collapsed="false">
      <c r="A579" s="25" t="n">
        <v>46231</v>
      </c>
      <c r="B579" s="26" t="s">
        <v>17</v>
      </c>
      <c r="C579" s="26" t="s">
        <v>72</v>
      </c>
      <c r="D579" s="26" t="s">
        <v>28</v>
      </c>
      <c r="E579" s="26" t="n">
        <v>66</v>
      </c>
    </row>
    <row r="580" customFormat="false" ht="15" hidden="false" customHeight="false" outlineLevel="0" collapsed="false">
      <c r="A580" s="25" t="n">
        <v>46231</v>
      </c>
      <c r="B580" s="26" t="s">
        <v>17</v>
      </c>
      <c r="C580" s="26" t="s">
        <v>73</v>
      </c>
      <c r="D580" s="26" t="s">
        <v>26</v>
      </c>
      <c r="E580" s="26" t="n">
        <v>58</v>
      </c>
    </row>
    <row r="581" customFormat="false" ht="15" hidden="false" customHeight="false" outlineLevel="0" collapsed="false">
      <c r="A581" s="25" t="n">
        <v>46231</v>
      </c>
      <c r="B581" s="26" t="s">
        <v>17</v>
      </c>
      <c r="C581" s="26" t="s">
        <v>73</v>
      </c>
      <c r="D581" s="26" t="s">
        <v>26</v>
      </c>
      <c r="E581" s="26" t="n">
        <v>42</v>
      </c>
    </row>
    <row r="582" customFormat="false" ht="15" hidden="false" customHeight="false" outlineLevel="0" collapsed="false">
      <c r="A582" s="25" t="n">
        <v>46231</v>
      </c>
      <c r="B582" s="26" t="s">
        <v>17</v>
      </c>
      <c r="C582" s="26" t="s">
        <v>74</v>
      </c>
      <c r="D582" s="26" t="s">
        <v>31</v>
      </c>
      <c r="E582" s="26" t="n">
        <v>84</v>
      </c>
    </row>
    <row r="583" customFormat="false" ht="15" hidden="false" customHeight="false" outlineLevel="0" collapsed="false">
      <c r="A583" s="25" t="n">
        <v>46231</v>
      </c>
      <c r="B583" s="26" t="s">
        <v>17</v>
      </c>
      <c r="C583" s="26" t="s">
        <v>74</v>
      </c>
      <c r="D583" s="26" t="s">
        <v>28</v>
      </c>
      <c r="E583" s="26" t="n">
        <v>44</v>
      </c>
    </row>
    <row r="584" customFormat="false" ht="15" hidden="false" customHeight="false" outlineLevel="0" collapsed="false">
      <c r="A584" s="25" t="n">
        <v>46231</v>
      </c>
      <c r="B584" s="26" t="s">
        <v>17</v>
      </c>
      <c r="C584" s="26" t="s">
        <v>74</v>
      </c>
      <c r="D584" s="26" t="s">
        <v>29</v>
      </c>
      <c r="E584" s="26" t="n">
        <v>24</v>
      </c>
    </row>
    <row r="585" customFormat="false" ht="15" hidden="false" customHeight="false" outlineLevel="0" collapsed="false">
      <c r="A585" s="25" t="n">
        <v>46231</v>
      </c>
      <c r="B585" s="26" t="s">
        <v>17</v>
      </c>
      <c r="C585" s="26" t="s">
        <v>74</v>
      </c>
      <c r="D585" s="26" t="s">
        <v>30</v>
      </c>
      <c r="E585" s="26" t="n">
        <v>12</v>
      </c>
    </row>
    <row r="586" customFormat="false" ht="15" hidden="false" customHeight="false" outlineLevel="0" collapsed="false">
      <c r="A586" s="25" t="n">
        <v>46231</v>
      </c>
      <c r="B586" s="26" t="s">
        <v>17</v>
      </c>
      <c r="C586" s="26" t="s">
        <v>74</v>
      </c>
      <c r="D586" s="26" t="s">
        <v>28</v>
      </c>
      <c r="E586" s="26" t="n">
        <v>31</v>
      </c>
    </row>
    <row r="587" customFormat="false" ht="15" hidden="false" customHeight="false" outlineLevel="0" collapsed="false">
      <c r="A587" s="25" t="n">
        <v>46231</v>
      </c>
      <c r="B587" s="26" t="s">
        <v>18</v>
      </c>
      <c r="C587" s="26" t="s">
        <v>72</v>
      </c>
      <c r="D587" s="26" t="s">
        <v>28</v>
      </c>
      <c r="E587" s="26" t="n">
        <v>54</v>
      </c>
    </row>
    <row r="588" customFormat="false" ht="15" hidden="false" customHeight="false" outlineLevel="0" collapsed="false">
      <c r="A588" s="25" t="n">
        <v>46231</v>
      </c>
      <c r="B588" s="26" t="s">
        <v>18</v>
      </c>
      <c r="C588" s="26" t="s">
        <v>72</v>
      </c>
      <c r="D588" s="26" t="s">
        <v>28</v>
      </c>
      <c r="E588" s="26" t="n">
        <v>87</v>
      </c>
    </row>
    <row r="589" customFormat="false" ht="15" hidden="false" customHeight="false" outlineLevel="0" collapsed="false">
      <c r="A589" s="25" t="n">
        <v>46231</v>
      </c>
      <c r="B589" s="26" t="s">
        <v>18</v>
      </c>
      <c r="C589" s="26" t="s">
        <v>72</v>
      </c>
      <c r="D589" s="26" t="s">
        <v>28</v>
      </c>
      <c r="E589" s="26" t="n">
        <v>26</v>
      </c>
    </row>
    <row r="590" customFormat="false" ht="15" hidden="false" customHeight="false" outlineLevel="0" collapsed="false">
      <c r="A590" s="25" t="n">
        <v>46231</v>
      </c>
      <c r="B590" s="26" t="s">
        <v>18</v>
      </c>
      <c r="C590" s="26" t="s">
        <v>72</v>
      </c>
      <c r="D590" s="26" t="s">
        <v>30</v>
      </c>
      <c r="E590" s="26" t="n">
        <v>24</v>
      </c>
    </row>
    <row r="591" customFormat="false" ht="15" hidden="false" customHeight="false" outlineLevel="0" collapsed="false">
      <c r="A591" s="25" t="n">
        <v>46231</v>
      </c>
      <c r="B591" s="26" t="s">
        <v>18</v>
      </c>
      <c r="C591" s="26" t="s">
        <v>73</v>
      </c>
      <c r="D591" s="26" t="s">
        <v>27</v>
      </c>
      <c r="E591" s="26" t="n">
        <v>18</v>
      </c>
    </row>
    <row r="592" customFormat="false" ht="15" hidden="false" customHeight="false" outlineLevel="0" collapsed="false">
      <c r="A592" s="25" t="n">
        <v>46231</v>
      </c>
      <c r="B592" s="26" t="s">
        <v>18</v>
      </c>
      <c r="C592" s="26" t="s">
        <v>73</v>
      </c>
      <c r="D592" s="26" t="s">
        <v>27</v>
      </c>
      <c r="E592" s="26" t="n">
        <v>49</v>
      </c>
    </row>
    <row r="593" customFormat="false" ht="15" hidden="false" customHeight="false" outlineLevel="0" collapsed="false">
      <c r="A593" s="25" t="n">
        <v>46231</v>
      </c>
      <c r="B593" s="26" t="s">
        <v>18</v>
      </c>
      <c r="C593" s="26" t="s">
        <v>73</v>
      </c>
      <c r="D593" s="26" t="s">
        <v>27</v>
      </c>
      <c r="E593" s="26" t="n">
        <v>34</v>
      </c>
    </row>
    <row r="594" customFormat="false" ht="15" hidden="false" customHeight="false" outlineLevel="0" collapsed="false">
      <c r="A594" s="25" t="n">
        <v>46231</v>
      </c>
      <c r="B594" s="26" t="s">
        <v>18</v>
      </c>
      <c r="C594" s="26" t="s">
        <v>73</v>
      </c>
      <c r="D594" s="26" t="s">
        <v>26</v>
      </c>
      <c r="E594" s="26" t="n">
        <v>20</v>
      </c>
    </row>
    <row r="595" customFormat="false" ht="15" hidden="false" customHeight="false" outlineLevel="0" collapsed="false">
      <c r="A595" s="25" t="n">
        <v>46231</v>
      </c>
      <c r="B595" s="26" t="s">
        <v>18</v>
      </c>
      <c r="C595" s="26" t="s">
        <v>74</v>
      </c>
      <c r="D595" s="26" t="s">
        <v>27</v>
      </c>
      <c r="E595" s="26" t="n">
        <v>15</v>
      </c>
    </row>
    <row r="596" customFormat="false" ht="15" hidden="false" customHeight="false" outlineLevel="0" collapsed="false">
      <c r="A596" s="25" t="n">
        <v>46231</v>
      </c>
      <c r="B596" s="26" t="s">
        <v>18</v>
      </c>
      <c r="C596" s="26" t="s">
        <v>74</v>
      </c>
      <c r="D596" s="26" t="s">
        <v>27</v>
      </c>
      <c r="E596" s="26" t="n">
        <v>39</v>
      </c>
    </row>
    <row r="597" customFormat="false" ht="15" hidden="false" customHeight="false" outlineLevel="0" collapsed="false">
      <c r="A597" s="25" t="n">
        <v>46231</v>
      </c>
      <c r="B597" s="26" t="s">
        <v>18</v>
      </c>
      <c r="C597" s="26" t="s">
        <v>74</v>
      </c>
      <c r="D597" s="26" t="s">
        <v>26</v>
      </c>
      <c r="E597" s="26" t="n">
        <v>63</v>
      </c>
    </row>
    <row r="598" customFormat="false" ht="15" hidden="false" customHeight="false" outlineLevel="0" collapsed="false">
      <c r="A598" s="25" t="n">
        <v>46231</v>
      </c>
      <c r="B598" s="26" t="s">
        <v>18</v>
      </c>
      <c r="C598" s="26" t="s">
        <v>74</v>
      </c>
      <c r="D598" s="26" t="s">
        <v>31</v>
      </c>
      <c r="E598" s="26" t="n">
        <v>41</v>
      </c>
    </row>
    <row r="599" customFormat="false" ht="15" hidden="false" customHeight="false" outlineLevel="0" collapsed="false">
      <c r="A599" s="25" t="n">
        <v>46231</v>
      </c>
      <c r="B599" s="26" t="s">
        <v>18</v>
      </c>
      <c r="C599" s="26" t="s">
        <v>74</v>
      </c>
      <c r="D599" s="26" t="s">
        <v>28</v>
      </c>
      <c r="E599" s="26" t="n">
        <v>24</v>
      </c>
    </row>
    <row r="600" customFormat="false" ht="15" hidden="false" customHeight="false" outlineLevel="0" collapsed="false">
      <c r="A600" s="25" t="n">
        <v>46231</v>
      </c>
      <c r="B600" s="26" t="s">
        <v>18</v>
      </c>
      <c r="C600" s="26" t="s">
        <v>74</v>
      </c>
      <c r="D600" s="26" t="s">
        <v>26</v>
      </c>
      <c r="E600" s="26" t="n">
        <v>32</v>
      </c>
    </row>
    <row r="601" customFormat="false" ht="15" hidden="false" customHeight="false" outlineLevel="0" collapsed="false">
      <c r="A601" s="25" t="n">
        <v>46232</v>
      </c>
      <c r="B601" s="26" t="s">
        <v>16</v>
      </c>
      <c r="C601" s="26" t="s">
        <v>72</v>
      </c>
      <c r="D601" s="26" t="s">
        <v>26</v>
      </c>
      <c r="E601" s="26" t="n">
        <v>41</v>
      </c>
    </row>
    <row r="602" customFormat="false" ht="15" hidden="false" customHeight="false" outlineLevel="0" collapsed="false">
      <c r="A602" s="25" t="n">
        <v>46232</v>
      </c>
      <c r="B602" s="26" t="s">
        <v>16</v>
      </c>
      <c r="C602" s="26" t="s">
        <v>72</v>
      </c>
      <c r="D602" s="26" t="s">
        <v>29</v>
      </c>
      <c r="E602" s="26" t="n">
        <v>20</v>
      </c>
    </row>
    <row r="603" customFormat="false" ht="15" hidden="false" customHeight="false" outlineLevel="0" collapsed="false">
      <c r="A603" s="25" t="n">
        <v>46232</v>
      </c>
      <c r="B603" s="26" t="s">
        <v>16</v>
      </c>
      <c r="C603" s="26" t="s">
        <v>72</v>
      </c>
      <c r="D603" s="26" t="s">
        <v>28</v>
      </c>
      <c r="E603" s="26" t="n">
        <v>100</v>
      </c>
    </row>
    <row r="604" customFormat="false" ht="15" hidden="false" customHeight="false" outlineLevel="0" collapsed="false">
      <c r="A604" s="25" t="n">
        <v>46232</v>
      </c>
      <c r="B604" s="26" t="s">
        <v>16</v>
      </c>
      <c r="C604" s="26" t="s">
        <v>73</v>
      </c>
      <c r="D604" s="26" t="s">
        <v>32</v>
      </c>
      <c r="E604" s="26" t="n">
        <v>20</v>
      </c>
    </row>
    <row r="605" customFormat="false" ht="15" hidden="false" customHeight="false" outlineLevel="0" collapsed="false">
      <c r="A605" s="25" t="n">
        <v>46232</v>
      </c>
      <c r="B605" s="26" t="s">
        <v>16</v>
      </c>
      <c r="C605" s="26" t="s">
        <v>73</v>
      </c>
      <c r="D605" s="26" t="s">
        <v>26</v>
      </c>
      <c r="E605" s="26" t="n">
        <v>34</v>
      </c>
    </row>
    <row r="606" customFormat="false" ht="15" hidden="false" customHeight="false" outlineLevel="0" collapsed="false">
      <c r="A606" s="25" t="n">
        <v>46232</v>
      </c>
      <c r="B606" s="26" t="s">
        <v>16</v>
      </c>
      <c r="C606" s="26" t="s">
        <v>74</v>
      </c>
      <c r="D606" s="26" t="s">
        <v>28</v>
      </c>
      <c r="E606" s="26" t="n">
        <v>52</v>
      </c>
    </row>
    <row r="607" customFormat="false" ht="15" hidden="false" customHeight="false" outlineLevel="0" collapsed="false">
      <c r="A607" s="25" t="n">
        <v>46232</v>
      </c>
      <c r="B607" s="26" t="s">
        <v>16</v>
      </c>
      <c r="C607" s="26" t="s">
        <v>74</v>
      </c>
      <c r="D607" s="26" t="s">
        <v>27</v>
      </c>
      <c r="E607" s="26" t="n">
        <v>15</v>
      </c>
    </row>
    <row r="608" customFormat="false" ht="15" hidden="false" customHeight="false" outlineLevel="0" collapsed="false">
      <c r="A608" s="25" t="n">
        <v>46232</v>
      </c>
      <c r="B608" s="26" t="s">
        <v>17</v>
      </c>
      <c r="C608" s="26" t="s">
        <v>72</v>
      </c>
      <c r="D608" s="26" t="s">
        <v>27</v>
      </c>
      <c r="E608" s="26" t="n">
        <v>36</v>
      </c>
    </row>
    <row r="609" customFormat="false" ht="15" hidden="false" customHeight="false" outlineLevel="0" collapsed="false">
      <c r="A609" s="25" t="n">
        <v>46232</v>
      </c>
      <c r="B609" s="26" t="s">
        <v>17</v>
      </c>
      <c r="C609" s="26" t="s">
        <v>72</v>
      </c>
      <c r="D609" s="26" t="s">
        <v>26</v>
      </c>
      <c r="E609" s="26" t="n">
        <v>19</v>
      </c>
    </row>
    <row r="610" customFormat="false" ht="15" hidden="false" customHeight="false" outlineLevel="0" collapsed="false">
      <c r="A610" s="25" t="n">
        <v>46232</v>
      </c>
      <c r="B610" s="26" t="s">
        <v>17</v>
      </c>
      <c r="C610" s="26" t="s">
        <v>72</v>
      </c>
      <c r="D610" s="26" t="s">
        <v>26</v>
      </c>
      <c r="E610" s="26" t="n">
        <v>38</v>
      </c>
    </row>
    <row r="611" customFormat="false" ht="15" hidden="false" customHeight="false" outlineLevel="0" collapsed="false">
      <c r="A611" s="25" t="n">
        <v>46232</v>
      </c>
      <c r="B611" s="26" t="s">
        <v>17</v>
      </c>
      <c r="C611" s="26" t="s">
        <v>73</v>
      </c>
      <c r="D611" s="26" t="s">
        <v>27</v>
      </c>
      <c r="E611" s="26" t="n">
        <v>32</v>
      </c>
    </row>
    <row r="612" customFormat="false" ht="15" hidden="false" customHeight="false" outlineLevel="0" collapsed="false">
      <c r="A612" s="25" t="n">
        <v>46232</v>
      </c>
      <c r="B612" s="26" t="s">
        <v>17</v>
      </c>
      <c r="C612" s="26" t="s">
        <v>73</v>
      </c>
      <c r="D612" s="26" t="s">
        <v>26</v>
      </c>
      <c r="E612" s="26" t="n">
        <v>53</v>
      </c>
    </row>
    <row r="613" customFormat="false" ht="15" hidden="false" customHeight="false" outlineLevel="0" collapsed="false">
      <c r="A613" s="25" t="n">
        <v>46232</v>
      </c>
      <c r="B613" s="26" t="s">
        <v>17</v>
      </c>
      <c r="C613" s="26" t="s">
        <v>73</v>
      </c>
      <c r="D613" s="26" t="s">
        <v>27</v>
      </c>
      <c r="E613" s="26" t="n">
        <v>27</v>
      </c>
    </row>
    <row r="614" customFormat="false" ht="15" hidden="false" customHeight="false" outlineLevel="0" collapsed="false">
      <c r="A614" s="25" t="n">
        <v>46232</v>
      </c>
      <c r="B614" s="26" t="s">
        <v>17</v>
      </c>
      <c r="C614" s="26" t="s">
        <v>74</v>
      </c>
      <c r="D614" s="26" t="s">
        <v>27</v>
      </c>
      <c r="E614" s="26" t="n">
        <v>11</v>
      </c>
    </row>
    <row r="615" customFormat="false" ht="15" hidden="false" customHeight="false" outlineLevel="0" collapsed="false">
      <c r="A615" s="25" t="n">
        <v>46232</v>
      </c>
      <c r="B615" s="26" t="s">
        <v>17</v>
      </c>
      <c r="C615" s="26" t="s">
        <v>74</v>
      </c>
      <c r="D615" s="26" t="s">
        <v>30</v>
      </c>
      <c r="E615" s="26" t="n">
        <v>36</v>
      </c>
    </row>
    <row r="616" customFormat="false" ht="15" hidden="false" customHeight="false" outlineLevel="0" collapsed="false">
      <c r="A616" s="25" t="n">
        <v>46232</v>
      </c>
      <c r="B616" s="26" t="s">
        <v>18</v>
      </c>
      <c r="C616" s="26" t="s">
        <v>72</v>
      </c>
      <c r="D616" s="26" t="s">
        <v>28</v>
      </c>
      <c r="E616" s="26" t="n">
        <v>55</v>
      </c>
    </row>
    <row r="617" customFormat="false" ht="15" hidden="false" customHeight="false" outlineLevel="0" collapsed="false">
      <c r="A617" s="25" t="n">
        <v>46232</v>
      </c>
      <c r="B617" s="26" t="s">
        <v>18</v>
      </c>
      <c r="C617" s="26" t="s">
        <v>73</v>
      </c>
      <c r="D617" s="26" t="s">
        <v>26</v>
      </c>
      <c r="E617" s="26" t="n">
        <v>120</v>
      </c>
    </row>
    <row r="618" customFormat="false" ht="15" hidden="false" customHeight="false" outlineLevel="0" collapsed="false">
      <c r="A618" s="25" t="n">
        <v>46232</v>
      </c>
      <c r="B618" s="26" t="s">
        <v>18</v>
      </c>
      <c r="C618" s="26" t="s">
        <v>73</v>
      </c>
      <c r="D618" s="26" t="s">
        <v>29</v>
      </c>
      <c r="E618" s="26" t="n">
        <v>26</v>
      </c>
    </row>
    <row r="619" customFormat="false" ht="15" hidden="false" customHeight="false" outlineLevel="0" collapsed="false">
      <c r="A619" s="25" t="n">
        <v>46232</v>
      </c>
      <c r="B619" s="26" t="s">
        <v>18</v>
      </c>
      <c r="C619" s="26" t="s">
        <v>74</v>
      </c>
      <c r="D619" s="26" t="s">
        <v>26</v>
      </c>
      <c r="E619" s="26" t="n">
        <v>73</v>
      </c>
    </row>
    <row r="620" customFormat="false" ht="15" hidden="false" customHeight="false" outlineLevel="0" collapsed="false">
      <c r="A620" s="25" t="n">
        <v>46232</v>
      </c>
      <c r="B620" s="26" t="s">
        <v>18</v>
      </c>
      <c r="C620" s="26" t="s">
        <v>74</v>
      </c>
      <c r="D620" s="26" t="s">
        <v>26</v>
      </c>
      <c r="E620" s="26" t="n">
        <v>39</v>
      </c>
    </row>
    <row r="621" customFormat="false" ht="15" hidden="false" customHeight="false" outlineLevel="0" collapsed="false">
      <c r="A621" s="25" t="n">
        <v>46232</v>
      </c>
      <c r="B621" s="26" t="s">
        <v>18</v>
      </c>
      <c r="C621" s="26" t="s">
        <v>74</v>
      </c>
      <c r="D621" s="26" t="s">
        <v>27</v>
      </c>
      <c r="E621" s="26" t="n">
        <v>17</v>
      </c>
    </row>
    <row r="622" customFormat="false" ht="15" hidden="false" customHeight="false" outlineLevel="0" collapsed="false">
      <c r="A622" s="25" t="n">
        <v>46233</v>
      </c>
      <c r="B622" s="26" t="s">
        <v>16</v>
      </c>
      <c r="C622" s="26" t="s">
        <v>72</v>
      </c>
      <c r="D622" s="26" t="s">
        <v>30</v>
      </c>
      <c r="E622" s="26" t="n">
        <v>37</v>
      </c>
    </row>
    <row r="623" customFormat="false" ht="15" hidden="false" customHeight="false" outlineLevel="0" collapsed="false">
      <c r="A623" s="25" t="n">
        <v>46233</v>
      </c>
      <c r="B623" s="26" t="s">
        <v>16</v>
      </c>
      <c r="C623" s="26" t="s">
        <v>73</v>
      </c>
      <c r="D623" s="26" t="s">
        <v>26</v>
      </c>
      <c r="E623" s="26" t="n">
        <v>45</v>
      </c>
    </row>
    <row r="624" customFormat="false" ht="15" hidden="false" customHeight="false" outlineLevel="0" collapsed="false">
      <c r="A624" s="25" t="n">
        <v>46233</v>
      </c>
      <c r="B624" s="26" t="s">
        <v>16</v>
      </c>
      <c r="C624" s="26" t="s">
        <v>73</v>
      </c>
      <c r="D624" s="26" t="s">
        <v>29</v>
      </c>
      <c r="E624" s="26" t="n">
        <v>12</v>
      </c>
    </row>
    <row r="625" customFormat="false" ht="15" hidden="false" customHeight="false" outlineLevel="0" collapsed="false">
      <c r="A625" s="25" t="n">
        <v>46233</v>
      </c>
      <c r="B625" s="26" t="s">
        <v>16</v>
      </c>
      <c r="C625" s="26" t="s">
        <v>73</v>
      </c>
      <c r="D625" s="26" t="s">
        <v>30</v>
      </c>
      <c r="E625" s="26" t="n">
        <v>27</v>
      </c>
    </row>
    <row r="626" customFormat="false" ht="15" hidden="false" customHeight="false" outlineLevel="0" collapsed="false">
      <c r="A626" s="25" t="n">
        <v>46233</v>
      </c>
      <c r="B626" s="26" t="s">
        <v>16</v>
      </c>
      <c r="C626" s="26" t="s">
        <v>73</v>
      </c>
      <c r="D626" s="26" t="s">
        <v>32</v>
      </c>
      <c r="E626" s="26" t="n">
        <v>58</v>
      </c>
    </row>
    <row r="627" customFormat="false" ht="15" hidden="false" customHeight="false" outlineLevel="0" collapsed="false">
      <c r="A627" s="25" t="n">
        <v>46233</v>
      </c>
      <c r="B627" s="26" t="s">
        <v>16</v>
      </c>
      <c r="C627" s="26" t="s">
        <v>73</v>
      </c>
      <c r="D627" s="26" t="s">
        <v>31</v>
      </c>
      <c r="E627" s="26" t="n">
        <v>56</v>
      </c>
    </row>
    <row r="628" customFormat="false" ht="15" hidden="false" customHeight="false" outlineLevel="0" collapsed="false">
      <c r="A628" s="25" t="n">
        <v>46233</v>
      </c>
      <c r="B628" s="26" t="s">
        <v>16</v>
      </c>
      <c r="C628" s="26" t="s">
        <v>74</v>
      </c>
      <c r="D628" s="26" t="s">
        <v>26</v>
      </c>
      <c r="E628" s="26" t="n">
        <v>21</v>
      </c>
    </row>
    <row r="629" customFormat="false" ht="15" hidden="false" customHeight="false" outlineLevel="0" collapsed="false">
      <c r="A629" s="25" t="n">
        <v>46233</v>
      </c>
      <c r="B629" s="26" t="s">
        <v>17</v>
      </c>
      <c r="C629" s="26" t="s">
        <v>72</v>
      </c>
      <c r="D629" s="26" t="s">
        <v>31</v>
      </c>
      <c r="E629" s="26" t="n">
        <v>62</v>
      </c>
    </row>
    <row r="630" customFormat="false" ht="15" hidden="false" customHeight="false" outlineLevel="0" collapsed="false">
      <c r="A630" s="25" t="n">
        <v>46233</v>
      </c>
      <c r="B630" s="26" t="s">
        <v>17</v>
      </c>
      <c r="C630" s="26" t="s">
        <v>73</v>
      </c>
      <c r="D630" s="26" t="s">
        <v>28</v>
      </c>
      <c r="E630" s="26" t="n">
        <v>34</v>
      </c>
    </row>
    <row r="631" customFormat="false" ht="15" hidden="false" customHeight="false" outlineLevel="0" collapsed="false">
      <c r="A631" s="25" t="n">
        <v>46233</v>
      </c>
      <c r="B631" s="26" t="s">
        <v>17</v>
      </c>
      <c r="C631" s="26" t="s">
        <v>74</v>
      </c>
      <c r="D631" s="26" t="s">
        <v>28</v>
      </c>
      <c r="E631" s="26" t="n">
        <v>42</v>
      </c>
    </row>
    <row r="632" customFormat="false" ht="15" hidden="false" customHeight="false" outlineLevel="0" collapsed="false">
      <c r="A632" s="25" t="n">
        <v>46233</v>
      </c>
      <c r="B632" s="26" t="s">
        <v>18</v>
      </c>
      <c r="C632" s="26" t="s">
        <v>72</v>
      </c>
      <c r="D632" s="26" t="s">
        <v>28</v>
      </c>
      <c r="E632" s="26" t="n">
        <v>27</v>
      </c>
    </row>
    <row r="633" customFormat="false" ht="15" hidden="false" customHeight="false" outlineLevel="0" collapsed="false">
      <c r="A633" s="25" t="n">
        <v>46233</v>
      </c>
      <c r="B633" s="26" t="s">
        <v>18</v>
      </c>
      <c r="C633" s="26" t="s">
        <v>72</v>
      </c>
      <c r="D633" s="26" t="s">
        <v>28</v>
      </c>
      <c r="E633" s="26" t="n">
        <v>19</v>
      </c>
    </row>
    <row r="634" customFormat="false" ht="15" hidden="false" customHeight="false" outlineLevel="0" collapsed="false">
      <c r="A634" s="25" t="n">
        <v>46233</v>
      </c>
      <c r="B634" s="26" t="s">
        <v>18</v>
      </c>
      <c r="C634" s="26" t="s">
        <v>72</v>
      </c>
      <c r="D634" s="26" t="s">
        <v>26</v>
      </c>
      <c r="E634" s="26" t="n">
        <v>19</v>
      </c>
    </row>
    <row r="635" customFormat="false" ht="15" hidden="false" customHeight="false" outlineLevel="0" collapsed="false">
      <c r="A635" s="25" t="n">
        <v>46233</v>
      </c>
      <c r="B635" s="26" t="s">
        <v>18</v>
      </c>
      <c r="C635" s="26" t="s">
        <v>72</v>
      </c>
      <c r="D635" s="26" t="s">
        <v>31</v>
      </c>
      <c r="E635" s="26" t="n">
        <v>47</v>
      </c>
    </row>
    <row r="636" customFormat="false" ht="15" hidden="false" customHeight="false" outlineLevel="0" collapsed="false">
      <c r="A636" s="25" t="n">
        <v>46233</v>
      </c>
      <c r="B636" s="26" t="s">
        <v>18</v>
      </c>
      <c r="C636" s="26" t="s">
        <v>72</v>
      </c>
      <c r="D636" s="26" t="s">
        <v>30</v>
      </c>
      <c r="E636" s="26" t="n">
        <v>18</v>
      </c>
    </row>
    <row r="637" customFormat="false" ht="15" hidden="false" customHeight="false" outlineLevel="0" collapsed="false">
      <c r="A637" s="25" t="n">
        <v>46233</v>
      </c>
      <c r="B637" s="26" t="s">
        <v>18</v>
      </c>
      <c r="C637" s="26" t="s">
        <v>73</v>
      </c>
      <c r="D637" s="26" t="s">
        <v>26</v>
      </c>
      <c r="E637" s="26" t="n">
        <v>28</v>
      </c>
    </row>
    <row r="638" customFormat="false" ht="15" hidden="false" customHeight="false" outlineLevel="0" collapsed="false">
      <c r="A638" s="25" t="n">
        <v>46233</v>
      </c>
      <c r="B638" s="26" t="s">
        <v>18</v>
      </c>
      <c r="C638" s="26" t="s">
        <v>73</v>
      </c>
      <c r="D638" s="26" t="s">
        <v>26</v>
      </c>
      <c r="E638" s="26" t="n">
        <v>15</v>
      </c>
    </row>
    <row r="639" customFormat="false" ht="15" hidden="false" customHeight="false" outlineLevel="0" collapsed="false">
      <c r="A639" s="25" t="n">
        <v>46233</v>
      </c>
      <c r="B639" s="26" t="s">
        <v>18</v>
      </c>
      <c r="C639" s="26" t="s">
        <v>73</v>
      </c>
      <c r="D639" s="26" t="s">
        <v>30</v>
      </c>
      <c r="E639" s="26" t="n">
        <v>37</v>
      </c>
    </row>
    <row r="640" customFormat="false" ht="15" hidden="false" customHeight="false" outlineLevel="0" collapsed="false">
      <c r="A640" s="25" t="n">
        <v>46233</v>
      </c>
      <c r="B640" s="26" t="s">
        <v>18</v>
      </c>
      <c r="C640" s="26" t="s">
        <v>73</v>
      </c>
      <c r="D640" s="26" t="s">
        <v>26</v>
      </c>
      <c r="E640" s="26" t="n">
        <v>20</v>
      </c>
    </row>
    <row r="641" customFormat="false" ht="15" hidden="false" customHeight="false" outlineLevel="0" collapsed="false">
      <c r="A641" s="25" t="n">
        <v>46233</v>
      </c>
      <c r="B641" s="26" t="s">
        <v>18</v>
      </c>
      <c r="C641" s="26" t="s">
        <v>74</v>
      </c>
      <c r="D641" s="26" t="s">
        <v>26</v>
      </c>
      <c r="E641" s="26" t="n">
        <v>16</v>
      </c>
    </row>
    <row r="642" customFormat="false" ht="15" hidden="false" customHeight="false" outlineLevel="0" collapsed="false">
      <c r="A642" s="25" t="n">
        <v>46233</v>
      </c>
      <c r="B642" s="26" t="s">
        <v>18</v>
      </c>
      <c r="C642" s="26" t="s">
        <v>74</v>
      </c>
      <c r="D642" s="26" t="s">
        <v>32</v>
      </c>
      <c r="E642" s="26" t="n">
        <v>9</v>
      </c>
    </row>
    <row r="643" customFormat="false" ht="15" hidden="false" customHeight="false" outlineLevel="0" collapsed="false">
      <c r="A643" s="25" t="n">
        <v>46233</v>
      </c>
      <c r="B643" s="26" t="s">
        <v>18</v>
      </c>
      <c r="C643" s="26" t="s">
        <v>74</v>
      </c>
      <c r="D643" s="26" t="s">
        <v>28</v>
      </c>
      <c r="E643" s="26" t="n">
        <v>51</v>
      </c>
    </row>
    <row r="644" customFormat="false" ht="15" hidden="false" customHeight="false" outlineLevel="0" collapsed="false">
      <c r="A644" s="25" t="n">
        <v>46233</v>
      </c>
      <c r="B644" s="26" t="s">
        <v>18</v>
      </c>
      <c r="C644" s="26" t="s">
        <v>74</v>
      </c>
      <c r="D644" s="26" t="s">
        <v>27</v>
      </c>
      <c r="E644" s="26" t="n">
        <v>29</v>
      </c>
    </row>
    <row r="645" customFormat="false" ht="15" hidden="false" customHeight="false" outlineLevel="0" collapsed="false">
      <c r="A645" s="25" t="n">
        <v>46234</v>
      </c>
      <c r="B645" s="26" t="s">
        <v>16</v>
      </c>
      <c r="C645" s="26" t="s">
        <v>73</v>
      </c>
      <c r="D645" s="26" t="s">
        <v>27</v>
      </c>
      <c r="E645" s="26" t="n">
        <v>17</v>
      </c>
    </row>
    <row r="646" customFormat="false" ht="15" hidden="false" customHeight="false" outlineLevel="0" collapsed="false">
      <c r="A646" s="25" t="n">
        <v>46234</v>
      </c>
      <c r="B646" s="26" t="s">
        <v>16</v>
      </c>
      <c r="C646" s="26" t="s">
        <v>73</v>
      </c>
      <c r="D646" s="26" t="s">
        <v>30</v>
      </c>
      <c r="E646" s="26" t="n">
        <v>27</v>
      </c>
    </row>
    <row r="647" customFormat="false" ht="15" hidden="false" customHeight="false" outlineLevel="0" collapsed="false">
      <c r="A647" s="25" t="n">
        <v>46234</v>
      </c>
      <c r="B647" s="26" t="s">
        <v>16</v>
      </c>
      <c r="C647" s="26" t="s">
        <v>73</v>
      </c>
      <c r="D647" s="26" t="s">
        <v>28</v>
      </c>
      <c r="E647" s="26" t="n">
        <v>41</v>
      </c>
    </row>
    <row r="648" customFormat="false" ht="15" hidden="false" customHeight="false" outlineLevel="0" collapsed="false">
      <c r="A648" s="25" t="n">
        <v>46234</v>
      </c>
      <c r="B648" s="26" t="s">
        <v>16</v>
      </c>
      <c r="C648" s="26" t="s">
        <v>73</v>
      </c>
      <c r="D648" s="26" t="s">
        <v>26</v>
      </c>
      <c r="E648" s="26" t="n">
        <v>25</v>
      </c>
    </row>
    <row r="649" customFormat="false" ht="15" hidden="false" customHeight="false" outlineLevel="0" collapsed="false">
      <c r="A649" s="25" t="n">
        <v>46234</v>
      </c>
      <c r="B649" s="26" t="s">
        <v>16</v>
      </c>
      <c r="C649" s="26" t="s">
        <v>74</v>
      </c>
      <c r="D649" s="26" t="s">
        <v>28</v>
      </c>
      <c r="E649" s="26" t="n">
        <v>61</v>
      </c>
    </row>
    <row r="650" customFormat="false" ht="15" hidden="false" customHeight="false" outlineLevel="0" collapsed="false">
      <c r="A650" s="25" t="n">
        <v>46234</v>
      </c>
      <c r="B650" s="26" t="s">
        <v>16</v>
      </c>
      <c r="C650" s="26" t="s">
        <v>74</v>
      </c>
      <c r="D650" s="26" t="s">
        <v>27</v>
      </c>
      <c r="E650" s="26" t="n">
        <v>22</v>
      </c>
    </row>
    <row r="651" customFormat="false" ht="15" hidden="false" customHeight="false" outlineLevel="0" collapsed="false">
      <c r="A651" s="25" t="n">
        <v>46234</v>
      </c>
      <c r="B651" s="26" t="s">
        <v>16</v>
      </c>
      <c r="C651" s="26" t="s">
        <v>74</v>
      </c>
      <c r="D651" s="26" t="s">
        <v>29</v>
      </c>
      <c r="E651" s="26" t="n">
        <v>13</v>
      </c>
    </row>
    <row r="652" customFormat="false" ht="15" hidden="false" customHeight="false" outlineLevel="0" collapsed="false">
      <c r="A652" s="25" t="n">
        <v>46234</v>
      </c>
      <c r="B652" s="26" t="s">
        <v>16</v>
      </c>
      <c r="C652" s="26" t="s">
        <v>74</v>
      </c>
      <c r="D652" s="26" t="s">
        <v>29</v>
      </c>
      <c r="E652" s="26" t="n">
        <v>27</v>
      </c>
    </row>
    <row r="653" customFormat="false" ht="15" hidden="false" customHeight="false" outlineLevel="0" collapsed="false">
      <c r="A653" s="25" t="n">
        <v>46234</v>
      </c>
      <c r="B653" s="26" t="s">
        <v>17</v>
      </c>
      <c r="C653" s="26" t="s">
        <v>72</v>
      </c>
      <c r="D653" s="26" t="s">
        <v>29</v>
      </c>
      <c r="E653" s="26" t="n">
        <v>16</v>
      </c>
    </row>
    <row r="654" customFormat="false" ht="15" hidden="false" customHeight="false" outlineLevel="0" collapsed="false">
      <c r="A654" s="25" t="n">
        <v>46234</v>
      </c>
      <c r="B654" s="26" t="s">
        <v>17</v>
      </c>
      <c r="C654" s="26" t="s">
        <v>72</v>
      </c>
      <c r="D654" s="26" t="s">
        <v>28</v>
      </c>
      <c r="E654" s="26" t="n">
        <v>24</v>
      </c>
    </row>
    <row r="655" customFormat="false" ht="15" hidden="false" customHeight="false" outlineLevel="0" collapsed="false">
      <c r="A655" s="25" t="n">
        <v>46234</v>
      </c>
      <c r="B655" s="26" t="s">
        <v>17</v>
      </c>
      <c r="C655" s="26" t="s">
        <v>72</v>
      </c>
      <c r="D655" s="26" t="s">
        <v>26</v>
      </c>
      <c r="E655" s="26" t="n">
        <v>28</v>
      </c>
    </row>
    <row r="656" customFormat="false" ht="15" hidden="false" customHeight="false" outlineLevel="0" collapsed="false">
      <c r="A656" s="25" t="n">
        <v>46234</v>
      </c>
      <c r="B656" s="26" t="s">
        <v>17</v>
      </c>
      <c r="C656" s="26" t="s">
        <v>72</v>
      </c>
      <c r="D656" s="26" t="s">
        <v>26</v>
      </c>
      <c r="E656" s="26" t="n">
        <v>54</v>
      </c>
    </row>
    <row r="657" customFormat="false" ht="15" hidden="false" customHeight="false" outlineLevel="0" collapsed="false">
      <c r="A657" s="25" t="n">
        <v>46234</v>
      </c>
      <c r="B657" s="26" t="s">
        <v>17</v>
      </c>
      <c r="C657" s="26" t="s">
        <v>73</v>
      </c>
      <c r="D657" s="26" t="s">
        <v>26</v>
      </c>
      <c r="E657" s="26" t="n">
        <v>76</v>
      </c>
    </row>
    <row r="658" customFormat="false" ht="15" hidden="false" customHeight="false" outlineLevel="0" collapsed="false">
      <c r="A658" s="25" t="n">
        <v>46234</v>
      </c>
      <c r="B658" s="26" t="s">
        <v>17</v>
      </c>
      <c r="C658" s="26" t="s">
        <v>73</v>
      </c>
      <c r="D658" s="26" t="s">
        <v>26</v>
      </c>
      <c r="E658" s="26" t="n">
        <v>10</v>
      </c>
    </row>
    <row r="659" customFormat="false" ht="15" hidden="false" customHeight="false" outlineLevel="0" collapsed="false">
      <c r="A659" s="25" t="n">
        <v>46234</v>
      </c>
      <c r="B659" s="26" t="s">
        <v>17</v>
      </c>
      <c r="C659" s="26" t="s">
        <v>73</v>
      </c>
      <c r="D659" s="26" t="s">
        <v>28</v>
      </c>
      <c r="E659" s="26" t="n">
        <v>20</v>
      </c>
    </row>
    <row r="660" customFormat="false" ht="15" hidden="false" customHeight="false" outlineLevel="0" collapsed="false">
      <c r="A660" s="25" t="n">
        <v>46234</v>
      </c>
      <c r="B660" s="26" t="s">
        <v>17</v>
      </c>
      <c r="C660" s="26" t="s">
        <v>73</v>
      </c>
      <c r="D660" s="26" t="s">
        <v>26</v>
      </c>
      <c r="E660" s="26" t="n">
        <v>48</v>
      </c>
    </row>
    <row r="661" customFormat="false" ht="15" hidden="false" customHeight="false" outlineLevel="0" collapsed="false">
      <c r="A661" s="25" t="n">
        <v>46234</v>
      </c>
      <c r="B661" s="26" t="s">
        <v>17</v>
      </c>
      <c r="C661" s="26" t="s">
        <v>74</v>
      </c>
      <c r="D661" s="26" t="s">
        <v>26</v>
      </c>
      <c r="E661" s="26" t="n">
        <v>53</v>
      </c>
    </row>
    <row r="662" customFormat="false" ht="15" hidden="false" customHeight="false" outlineLevel="0" collapsed="false">
      <c r="A662" s="25" t="n">
        <v>46234</v>
      </c>
      <c r="B662" s="26" t="s">
        <v>17</v>
      </c>
      <c r="C662" s="26" t="s">
        <v>74</v>
      </c>
      <c r="D662" s="26" t="s">
        <v>28</v>
      </c>
      <c r="E662" s="26" t="n">
        <v>20</v>
      </c>
    </row>
    <row r="663" customFormat="false" ht="15" hidden="false" customHeight="false" outlineLevel="0" collapsed="false">
      <c r="A663" s="25" t="n">
        <v>46234</v>
      </c>
      <c r="B663" s="26" t="s">
        <v>17</v>
      </c>
      <c r="C663" s="26" t="s">
        <v>74</v>
      </c>
      <c r="D663" s="26" t="s">
        <v>26</v>
      </c>
      <c r="E663" s="26" t="n">
        <v>15</v>
      </c>
    </row>
    <row r="664" customFormat="false" ht="15" hidden="false" customHeight="false" outlineLevel="0" collapsed="false">
      <c r="A664" s="25" t="n">
        <v>46234</v>
      </c>
      <c r="B664" s="26" t="s">
        <v>18</v>
      </c>
      <c r="C664" s="26" t="s">
        <v>72</v>
      </c>
      <c r="D664" s="26" t="s">
        <v>27</v>
      </c>
      <c r="E664" s="26" t="n">
        <v>24</v>
      </c>
    </row>
    <row r="665" customFormat="false" ht="15" hidden="false" customHeight="false" outlineLevel="0" collapsed="false">
      <c r="A665" s="25" t="n">
        <v>46234</v>
      </c>
      <c r="B665" s="26" t="s">
        <v>18</v>
      </c>
      <c r="C665" s="26" t="s">
        <v>72</v>
      </c>
      <c r="D665" s="26" t="s">
        <v>31</v>
      </c>
      <c r="E665" s="26" t="n">
        <v>63</v>
      </c>
    </row>
    <row r="666" customFormat="false" ht="15" hidden="false" customHeight="false" outlineLevel="0" collapsed="false">
      <c r="A666" s="25" t="n">
        <v>46234</v>
      </c>
      <c r="B666" s="26" t="s">
        <v>18</v>
      </c>
      <c r="C666" s="26" t="s">
        <v>72</v>
      </c>
      <c r="D666" s="26" t="s">
        <v>28</v>
      </c>
      <c r="E666" s="26" t="n">
        <v>84</v>
      </c>
    </row>
    <row r="667" customFormat="false" ht="15" hidden="false" customHeight="false" outlineLevel="0" collapsed="false">
      <c r="A667" s="25" t="n">
        <v>46234</v>
      </c>
      <c r="B667" s="26" t="s">
        <v>18</v>
      </c>
      <c r="C667" s="26" t="s">
        <v>73</v>
      </c>
      <c r="D667" s="26" t="s">
        <v>26</v>
      </c>
      <c r="E667" s="26" t="n">
        <v>29</v>
      </c>
    </row>
    <row r="668" customFormat="false" ht="15" hidden="false" customHeight="false" outlineLevel="0" collapsed="false">
      <c r="A668" s="25" t="n">
        <v>46234</v>
      </c>
      <c r="B668" s="26" t="s">
        <v>18</v>
      </c>
      <c r="C668" s="26" t="s">
        <v>73</v>
      </c>
      <c r="D668" s="26" t="s">
        <v>29</v>
      </c>
      <c r="E668" s="26" t="n">
        <v>13</v>
      </c>
    </row>
    <row r="669" customFormat="false" ht="15" hidden="false" customHeight="false" outlineLevel="0" collapsed="false">
      <c r="A669" s="25" t="n">
        <v>46234</v>
      </c>
      <c r="B669" s="26" t="s">
        <v>18</v>
      </c>
      <c r="C669" s="26" t="s">
        <v>73</v>
      </c>
      <c r="D669" s="26" t="s">
        <v>29</v>
      </c>
      <c r="E669" s="26" t="n">
        <v>21</v>
      </c>
    </row>
    <row r="670" customFormat="false" ht="15" hidden="false" customHeight="false" outlineLevel="0" collapsed="false">
      <c r="A670" s="25" t="n">
        <v>46234</v>
      </c>
      <c r="B670" s="26" t="s">
        <v>18</v>
      </c>
      <c r="C670" s="26" t="s">
        <v>73</v>
      </c>
      <c r="D670" s="26" t="s">
        <v>26</v>
      </c>
      <c r="E670" s="26" t="n">
        <v>30</v>
      </c>
    </row>
    <row r="671" customFormat="false" ht="15" hidden="false" customHeight="false" outlineLevel="0" collapsed="false">
      <c r="A671" s="25" t="n">
        <v>46234</v>
      </c>
      <c r="B671" s="26" t="s">
        <v>18</v>
      </c>
      <c r="C671" s="26" t="s">
        <v>74</v>
      </c>
      <c r="D671" s="26" t="s">
        <v>28</v>
      </c>
      <c r="E671" s="26" t="n">
        <v>113</v>
      </c>
    </row>
    <row r="672" customFormat="false" ht="15" hidden="false" customHeight="false" outlineLevel="0" collapsed="false">
      <c r="A672" s="25" t="n">
        <v>46234</v>
      </c>
      <c r="B672" s="26" t="s">
        <v>18</v>
      </c>
      <c r="C672" s="26" t="s">
        <v>74</v>
      </c>
      <c r="D672" s="26" t="s">
        <v>30</v>
      </c>
      <c r="E672" s="26" t="n">
        <v>29</v>
      </c>
    </row>
    <row r="673" customFormat="false" ht="15" hidden="false" customHeight="false" outlineLevel="0" collapsed="false">
      <c r="A673" s="25" t="n">
        <v>46235</v>
      </c>
      <c r="B673" s="26" t="s">
        <v>16</v>
      </c>
      <c r="C673" s="26" t="s">
        <v>72</v>
      </c>
      <c r="D673" s="26" t="s">
        <v>26</v>
      </c>
      <c r="E673" s="26" t="n">
        <v>23</v>
      </c>
    </row>
    <row r="674" customFormat="false" ht="15" hidden="false" customHeight="false" outlineLevel="0" collapsed="false">
      <c r="A674" s="25" t="n">
        <v>46235</v>
      </c>
      <c r="B674" s="26" t="s">
        <v>16</v>
      </c>
      <c r="C674" s="26" t="s">
        <v>72</v>
      </c>
      <c r="D674" s="26" t="s">
        <v>27</v>
      </c>
      <c r="E674" s="26" t="n">
        <v>22</v>
      </c>
    </row>
    <row r="675" customFormat="false" ht="15" hidden="false" customHeight="false" outlineLevel="0" collapsed="false">
      <c r="A675" s="25" t="n">
        <v>46235</v>
      </c>
      <c r="B675" s="26" t="s">
        <v>16</v>
      </c>
      <c r="C675" s="26" t="s">
        <v>72</v>
      </c>
      <c r="D675" s="26" t="s">
        <v>28</v>
      </c>
      <c r="E675" s="26" t="n">
        <v>61</v>
      </c>
    </row>
    <row r="676" customFormat="false" ht="15" hidden="false" customHeight="false" outlineLevel="0" collapsed="false">
      <c r="A676" s="25" t="n">
        <v>46235</v>
      </c>
      <c r="B676" s="26" t="s">
        <v>16</v>
      </c>
      <c r="C676" s="26" t="s">
        <v>73</v>
      </c>
      <c r="D676" s="26" t="s">
        <v>26</v>
      </c>
      <c r="E676" s="26" t="n">
        <v>34</v>
      </c>
    </row>
    <row r="677" customFormat="false" ht="15" hidden="false" customHeight="false" outlineLevel="0" collapsed="false">
      <c r="A677" s="25" t="n">
        <v>46235</v>
      </c>
      <c r="B677" s="26" t="s">
        <v>16</v>
      </c>
      <c r="C677" s="26" t="s">
        <v>73</v>
      </c>
      <c r="D677" s="26" t="s">
        <v>28</v>
      </c>
      <c r="E677" s="26" t="n">
        <v>53</v>
      </c>
    </row>
    <row r="678" customFormat="false" ht="15" hidden="false" customHeight="false" outlineLevel="0" collapsed="false">
      <c r="A678" s="25" t="n">
        <v>46235</v>
      </c>
      <c r="B678" s="26" t="s">
        <v>16</v>
      </c>
      <c r="C678" s="26" t="s">
        <v>73</v>
      </c>
      <c r="D678" s="26" t="s">
        <v>27</v>
      </c>
      <c r="E678" s="26" t="n">
        <v>16</v>
      </c>
    </row>
    <row r="679" customFormat="false" ht="15" hidden="false" customHeight="false" outlineLevel="0" collapsed="false">
      <c r="A679" s="25" t="n">
        <v>46235</v>
      </c>
      <c r="B679" s="26" t="s">
        <v>16</v>
      </c>
      <c r="C679" s="26" t="s">
        <v>73</v>
      </c>
      <c r="D679" s="26" t="s">
        <v>26</v>
      </c>
      <c r="E679" s="26" t="n">
        <v>15</v>
      </c>
    </row>
    <row r="680" customFormat="false" ht="15" hidden="false" customHeight="false" outlineLevel="0" collapsed="false">
      <c r="A680" s="25" t="n">
        <v>46235</v>
      </c>
      <c r="B680" s="26" t="s">
        <v>16</v>
      </c>
      <c r="C680" s="26" t="s">
        <v>74</v>
      </c>
      <c r="D680" s="26" t="s">
        <v>32</v>
      </c>
      <c r="E680" s="26" t="n">
        <v>26</v>
      </c>
    </row>
    <row r="681" customFormat="false" ht="15" hidden="false" customHeight="false" outlineLevel="0" collapsed="false">
      <c r="A681" s="25" t="n">
        <v>46235</v>
      </c>
      <c r="B681" s="26" t="s">
        <v>16</v>
      </c>
      <c r="C681" s="26" t="s">
        <v>74</v>
      </c>
      <c r="D681" s="26" t="s">
        <v>26</v>
      </c>
      <c r="E681" s="26" t="n">
        <v>31</v>
      </c>
    </row>
    <row r="682" customFormat="false" ht="15" hidden="false" customHeight="false" outlineLevel="0" collapsed="false">
      <c r="A682" s="25" t="n">
        <v>46235</v>
      </c>
      <c r="B682" s="26" t="s">
        <v>16</v>
      </c>
      <c r="C682" s="26" t="s">
        <v>74</v>
      </c>
      <c r="D682" s="26" t="s">
        <v>28</v>
      </c>
      <c r="E682" s="26" t="n">
        <v>21</v>
      </c>
    </row>
    <row r="683" customFormat="false" ht="15" hidden="false" customHeight="false" outlineLevel="0" collapsed="false">
      <c r="A683" s="25" t="n">
        <v>46235</v>
      </c>
      <c r="B683" s="26" t="s">
        <v>16</v>
      </c>
      <c r="C683" s="26" t="s">
        <v>74</v>
      </c>
      <c r="D683" s="26" t="s">
        <v>29</v>
      </c>
      <c r="E683" s="26" t="n">
        <v>10</v>
      </c>
    </row>
    <row r="684" customFormat="false" ht="15" hidden="false" customHeight="false" outlineLevel="0" collapsed="false">
      <c r="A684" s="25" t="n">
        <v>46235</v>
      </c>
      <c r="B684" s="26" t="s">
        <v>16</v>
      </c>
      <c r="C684" s="26" t="s">
        <v>74</v>
      </c>
      <c r="D684" s="26" t="s">
        <v>30</v>
      </c>
      <c r="E684" s="26" t="n">
        <v>45</v>
      </c>
    </row>
    <row r="685" customFormat="false" ht="15" hidden="false" customHeight="false" outlineLevel="0" collapsed="false">
      <c r="A685" s="25" t="n">
        <v>46235</v>
      </c>
      <c r="B685" s="26" t="s">
        <v>17</v>
      </c>
      <c r="C685" s="26" t="s">
        <v>73</v>
      </c>
      <c r="D685" s="26" t="s">
        <v>30</v>
      </c>
      <c r="E685" s="26" t="n">
        <v>22</v>
      </c>
    </row>
    <row r="686" customFormat="false" ht="15" hidden="false" customHeight="false" outlineLevel="0" collapsed="false">
      <c r="A686" s="25" t="n">
        <v>46235</v>
      </c>
      <c r="B686" s="26" t="s">
        <v>17</v>
      </c>
      <c r="C686" s="26" t="s">
        <v>74</v>
      </c>
      <c r="D686" s="26" t="s">
        <v>26</v>
      </c>
      <c r="E686" s="26" t="n">
        <v>54</v>
      </c>
    </row>
    <row r="687" customFormat="false" ht="15" hidden="false" customHeight="false" outlineLevel="0" collapsed="false">
      <c r="A687" s="25" t="n">
        <v>46235</v>
      </c>
      <c r="B687" s="26" t="s">
        <v>17</v>
      </c>
      <c r="C687" s="26" t="s">
        <v>74</v>
      </c>
      <c r="D687" s="26" t="s">
        <v>28</v>
      </c>
      <c r="E687" s="26" t="n">
        <v>28</v>
      </c>
    </row>
    <row r="688" customFormat="false" ht="15" hidden="false" customHeight="false" outlineLevel="0" collapsed="false">
      <c r="A688" s="25" t="n">
        <v>46235</v>
      </c>
      <c r="B688" s="26" t="s">
        <v>17</v>
      </c>
      <c r="C688" s="26" t="s">
        <v>74</v>
      </c>
      <c r="D688" s="26" t="s">
        <v>26</v>
      </c>
      <c r="E688" s="26" t="n">
        <v>47</v>
      </c>
    </row>
    <row r="689" customFormat="false" ht="15" hidden="false" customHeight="false" outlineLevel="0" collapsed="false">
      <c r="A689" s="25" t="n">
        <v>46235</v>
      </c>
      <c r="B689" s="26" t="s">
        <v>18</v>
      </c>
      <c r="C689" s="26" t="s">
        <v>72</v>
      </c>
      <c r="D689" s="26" t="s">
        <v>28</v>
      </c>
      <c r="E689" s="26" t="n">
        <v>39</v>
      </c>
    </row>
    <row r="690" customFormat="false" ht="15" hidden="false" customHeight="false" outlineLevel="0" collapsed="false">
      <c r="A690" s="25" t="n">
        <v>46235</v>
      </c>
      <c r="B690" s="26" t="s">
        <v>18</v>
      </c>
      <c r="C690" s="26" t="s">
        <v>72</v>
      </c>
      <c r="D690" s="26" t="s">
        <v>27</v>
      </c>
      <c r="E690" s="26" t="n">
        <v>44</v>
      </c>
    </row>
    <row r="691" customFormat="false" ht="15" hidden="false" customHeight="false" outlineLevel="0" collapsed="false">
      <c r="A691" s="25" t="n">
        <v>46235</v>
      </c>
      <c r="B691" s="26" t="s">
        <v>18</v>
      </c>
      <c r="C691" s="26" t="s">
        <v>73</v>
      </c>
      <c r="D691" s="26" t="s">
        <v>29</v>
      </c>
      <c r="E691" s="26" t="n">
        <v>7</v>
      </c>
    </row>
    <row r="692" customFormat="false" ht="15" hidden="false" customHeight="false" outlineLevel="0" collapsed="false">
      <c r="A692" s="25" t="n">
        <v>46235</v>
      </c>
      <c r="B692" s="26" t="s">
        <v>18</v>
      </c>
      <c r="C692" s="26" t="s">
        <v>73</v>
      </c>
      <c r="D692" s="26" t="s">
        <v>28</v>
      </c>
      <c r="E692" s="26" t="n">
        <v>17</v>
      </c>
    </row>
    <row r="693" customFormat="false" ht="15" hidden="false" customHeight="false" outlineLevel="0" collapsed="false">
      <c r="A693" s="25" t="n">
        <v>46235</v>
      </c>
      <c r="B693" s="26" t="s">
        <v>18</v>
      </c>
      <c r="C693" s="26" t="s">
        <v>73</v>
      </c>
      <c r="D693" s="26" t="s">
        <v>26</v>
      </c>
      <c r="E693" s="26" t="n">
        <v>24</v>
      </c>
    </row>
    <row r="694" customFormat="false" ht="15" hidden="false" customHeight="false" outlineLevel="0" collapsed="false">
      <c r="A694" s="25" t="n">
        <v>46235</v>
      </c>
      <c r="B694" s="26" t="s">
        <v>18</v>
      </c>
      <c r="C694" s="26" t="s">
        <v>73</v>
      </c>
      <c r="D694" s="26" t="s">
        <v>26</v>
      </c>
      <c r="E694" s="26" t="n">
        <v>34</v>
      </c>
    </row>
    <row r="695" customFormat="false" ht="15" hidden="false" customHeight="false" outlineLevel="0" collapsed="false">
      <c r="A695" s="25" t="n">
        <v>46235</v>
      </c>
      <c r="B695" s="26" t="s">
        <v>18</v>
      </c>
      <c r="C695" s="26" t="s">
        <v>73</v>
      </c>
      <c r="D695" s="26" t="s">
        <v>27</v>
      </c>
      <c r="E695" s="26" t="n">
        <v>9</v>
      </c>
    </row>
    <row r="696" customFormat="false" ht="15" hidden="false" customHeight="false" outlineLevel="0" collapsed="false">
      <c r="A696" s="25" t="n">
        <v>46235</v>
      </c>
      <c r="B696" s="26" t="s">
        <v>18</v>
      </c>
      <c r="C696" s="26" t="s">
        <v>74</v>
      </c>
      <c r="D696" s="26" t="s">
        <v>31</v>
      </c>
      <c r="E696" s="26" t="n">
        <v>83</v>
      </c>
    </row>
    <row r="697" customFormat="false" ht="15" hidden="false" customHeight="false" outlineLevel="0" collapsed="false">
      <c r="A697" s="25" t="n">
        <v>46236</v>
      </c>
      <c r="B697" s="26" t="s">
        <v>16</v>
      </c>
      <c r="C697" s="26" t="s">
        <v>72</v>
      </c>
      <c r="D697" s="26" t="s">
        <v>28</v>
      </c>
      <c r="E697" s="26" t="n">
        <v>16</v>
      </c>
    </row>
    <row r="698" customFormat="false" ht="15" hidden="false" customHeight="false" outlineLevel="0" collapsed="false">
      <c r="A698" s="25" t="n">
        <v>46236</v>
      </c>
      <c r="B698" s="26" t="s">
        <v>16</v>
      </c>
      <c r="C698" s="26" t="s">
        <v>72</v>
      </c>
      <c r="D698" s="26" t="s">
        <v>29</v>
      </c>
      <c r="E698" s="26" t="n">
        <v>23</v>
      </c>
    </row>
    <row r="699" customFormat="false" ht="15" hidden="false" customHeight="false" outlineLevel="0" collapsed="false">
      <c r="A699" s="25" t="n">
        <v>46236</v>
      </c>
      <c r="B699" s="26" t="s">
        <v>16</v>
      </c>
      <c r="C699" s="26" t="s">
        <v>74</v>
      </c>
      <c r="D699" s="26" t="s">
        <v>27</v>
      </c>
      <c r="E699" s="26" t="n">
        <v>20</v>
      </c>
    </row>
    <row r="700" customFormat="false" ht="15" hidden="false" customHeight="false" outlineLevel="0" collapsed="false">
      <c r="A700" s="25" t="n">
        <v>46236</v>
      </c>
      <c r="B700" s="26" t="s">
        <v>17</v>
      </c>
      <c r="C700" s="26" t="s">
        <v>72</v>
      </c>
      <c r="D700" s="26" t="s">
        <v>26</v>
      </c>
      <c r="E700" s="26" t="n">
        <v>31</v>
      </c>
    </row>
    <row r="701" customFormat="false" ht="15" hidden="false" customHeight="false" outlineLevel="0" collapsed="false">
      <c r="A701" s="25" t="n">
        <v>46236</v>
      </c>
      <c r="B701" s="26" t="s">
        <v>17</v>
      </c>
      <c r="C701" s="26" t="s">
        <v>73</v>
      </c>
      <c r="D701" s="26" t="s">
        <v>26</v>
      </c>
      <c r="E701" s="26" t="n">
        <v>17</v>
      </c>
    </row>
    <row r="702" customFormat="false" ht="15" hidden="false" customHeight="false" outlineLevel="0" collapsed="false">
      <c r="A702" s="25" t="n">
        <v>46236</v>
      </c>
      <c r="B702" s="26" t="s">
        <v>17</v>
      </c>
      <c r="C702" s="26" t="s">
        <v>73</v>
      </c>
      <c r="D702" s="26" t="s">
        <v>31</v>
      </c>
      <c r="E702" s="26" t="n">
        <v>82</v>
      </c>
    </row>
    <row r="703" customFormat="false" ht="15" hidden="false" customHeight="false" outlineLevel="0" collapsed="false">
      <c r="A703" s="25" t="n">
        <v>46236</v>
      </c>
      <c r="B703" s="26" t="s">
        <v>17</v>
      </c>
      <c r="C703" s="26" t="s">
        <v>73</v>
      </c>
      <c r="D703" s="26" t="s">
        <v>26</v>
      </c>
      <c r="E703" s="26" t="n">
        <v>15</v>
      </c>
    </row>
    <row r="704" customFormat="false" ht="15" hidden="false" customHeight="false" outlineLevel="0" collapsed="false">
      <c r="A704" s="25" t="n">
        <v>46236</v>
      </c>
      <c r="B704" s="26" t="s">
        <v>17</v>
      </c>
      <c r="C704" s="26" t="s">
        <v>73</v>
      </c>
      <c r="D704" s="26" t="s">
        <v>27</v>
      </c>
      <c r="E704" s="26" t="n">
        <v>36</v>
      </c>
    </row>
    <row r="705" customFormat="false" ht="15" hidden="false" customHeight="false" outlineLevel="0" collapsed="false">
      <c r="A705" s="25" t="n">
        <v>46236</v>
      </c>
      <c r="B705" s="26" t="s">
        <v>17</v>
      </c>
      <c r="C705" s="26" t="s">
        <v>73</v>
      </c>
      <c r="D705" s="26" t="s">
        <v>27</v>
      </c>
      <c r="E705" s="26" t="n">
        <v>13</v>
      </c>
    </row>
    <row r="706" customFormat="false" ht="15" hidden="false" customHeight="false" outlineLevel="0" collapsed="false">
      <c r="A706" s="25" t="n">
        <v>46236</v>
      </c>
      <c r="B706" s="26" t="s">
        <v>17</v>
      </c>
      <c r="C706" s="26" t="s">
        <v>74</v>
      </c>
      <c r="D706" s="26" t="s">
        <v>27</v>
      </c>
      <c r="E706" s="26" t="n">
        <v>26</v>
      </c>
    </row>
    <row r="707" customFormat="false" ht="15" hidden="false" customHeight="false" outlineLevel="0" collapsed="false">
      <c r="A707" s="25" t="n">
        <v>46236</v>
      </c>
      <c r="B707" s="26" t="s">
        <v>17</v>
      </c>
      <c r="C707" s="26" t="s">
        <v>74</v>
      </c>
      <c r="D707" s="26" t="s">
        <v>26</v>
      </c>
      <c r="E707" s="26" t="n">
        <v>17</v>
      </c>
    </row>
    <row r="708" customFormat="false" ht="15" hidden="false" customHeight="false" outlineLevel="0" collapsed="false">
      <c r="A708" s="25" t="n">
        <v>46236</v>
      </c>
      <c r="B708" s="26" t="s">
        <v>17</v>
      </c>
      <c r="C708" s="26" t="s">
        <v>74</v>
      </c>
      <c r="D708" s="26" t="s">
        <v>29</v>
      </c>
      <c r="E708" s="26" t="n">
        <v>27</v>
      </c>
    </row>
    <row r="709" customFormat="false" ht="15" hidden="false" customHeight="false" outlineLevel="0" collapsed="false">
      <c r="A709" s="25" t="n">
        <v>46236</v>
      </c>
      <c r="B709" s="26" t="s">
        <v>17</v>
      </c>
      <c r="C709" s="26" t="s">
        <v>74</v>
      </c>
      <c r="D709" s="26" t="s">
        <v>27</v>
      </c>
      <c r="E709" s="26" t="n">
        <v>21</v>
      </c>
    </row>
    <row r="710" customFormat="false" ht="15" hidden="false" customHeight="false" outlineLevel="0" collapsed="false">
      <c r="A710" s="25" t="n">
        <v>46236</v>
      </c>
      <c r="B710" s="26" t="s">
        <v>17</v>
      </c>
      <c r="C710" s="26" t="s">
        <v>74</v>
      </c>
      <c r="D710" s="26" t="s">
        <v>30</v>
      </c>
      <c r="E710" s="26" t="n">
        <v>25</v>
      </c>
    </row>
    <row r="711" customFormat="false" ht="15" hidden="false" customHeight="false" outlineLevel="0" collapsed="false">
      <c r="A711" s="25" t="n">
        <v>46236</v>
      </c>
      <c r="B711" s="26" t="s">
        <v>18</v>
      </c>
      <c r="C711" s="26" t="s">
        <v>72</v>
      </c>
      <c r="D711" s="26" t="s">
        <v>30</v>
      </c>
      <c r="E711" s="26" t="n">
        <v>30</v>
      </c>
    </row>
    <row r="712" customFormat="false" ht="15" hidden="false" customHeight="false" outlineLevel="0" collapsed="false">
      <c r="A712" s="25" t="n">
        <v>46236</v>
      </c>
      <c r="B712" s="26" t="s">
        <v>18</v>
      </c>
      <c r="C712" s="26" t="s">
        <v>72</v>
      </c>
      <c r="D712" s="26" t="s">
        <v>30</v>
      </c>
      <c r="E712" s="26" t="n">
        <v>62</v>
      </c>
    </row>
    <row r="713" customFormat="false" ht="15" hidden="false" customHeight="false" outlineLevel="0" collapsed="false">
      <c r="A713" s="25" t="n">
        <v>46236</v>
      </c>
      <c r="B713" s="26" t="s">
        <v>18</v>
      </c>
      <c r="C713" s="26" t="s">
        <v>73</v>
      </c>
      <c r="D713" s="26" t="s">
        <v>26</v>
      </c>
      <c r="E713" s="26" t="n">
        <v>28</v>
      </c>
    </row>
    <row r="714" customFormat="false" ht="15" hidden="false" customHeight="false" outlineLevel="0" collapsed="false">
      <c r="A714" s="25" t="n">
        <v>46236</v>
      </c>
      <c r="B714" s="26" t="s">
        <v>18</v>
      </c>
      <c r="C714" s="26" t="s">
        <v>73</v>
      </c>
      <c r="D714" s="26" t="s">
        <v>26</v>
      </c>
      <c r="E714" s="26" t="n">
        <v>25</v>
      </c>
    </row>
    <row r="715" customFormat="false" ht="15" hidden="false" customHeight="false" outlineLevel="0" collapsed="false">
      <c r="A715" s="25" t="n">
        <v>46236</v>
      </c>
      <c r="B715" s="26" t="s">
        <v>18</v>
      </c>
      <c r="C715" s="26" t="s">
        <v>74</v>
      </c>
      <c r="D715" s="26" t="s">
        <v>29</v>
      </c>
      <c r="E715" s="26" t="n">
        <v>31</v>
      </c>
    </row>
    <row r="716" customFormat="false" ht="15" hidden="false" customHeight="false" outlineLevel="0" collapsed="false">
      <c r="A716" s="25" t="n">
        <v>46236</v>
      </c>
      <c r="B716" s="26" t="s">
        <v>18</v>
      </c>
      <c r="C716" s="26" t="s">
        <v>74</v>
      </c>
      <c r="D716" s="26" t="s">
        <v>28</v>
      </c>
      <c r="E716" s="26" t="n">
        <v>57</v>
      </c>
    </row>
    <row r="717" customFormat="false" ht="15" hidden="false" customHeight="false" outlineLevel="0" collapsed="false">
      <c r="A717" s="25" t="n">
        <v>46236</v>
      </c>
      <c r="B717" s="26" t="s">
        <v>18</v>
      </c>
      <c r="C717" s="26" t="s">
        <v>74</v>
      </c>
      <c r="D717" s="26" t="s">
        <v>26</v>
      </c>
      <c r="E717" s="26" t="n">
        <v>40</v>
      </c>
    </row>
    <row r="718" customFormat="false" ht="15" hidden="false" customHeight="false" outlineLevel="0" collapsed="false">
      <c r="A718" s="25" t="n">
        <v>46237</v>
      </c>
      <c r="B718" s="26" t="s">
        <v>16</v>
      </c>
      <c r="C718" s="26" t="s">
        <v>72</v>
      </c>
      <c r="D718" s="26" t="s">
        <v>29</v>
      </c>
      <c r="E718" s="26" t="n">
        <v>22</v>
      </c>
    </row>
    <row r="719" customFormat="false" ht="15" hidden="false" customHeight="false" outlineLevel="0" collapsed="false">
      <c r="A719" s="25" t="n">
        <v>46237</v>
      </c>
      <c r="B719" s="26" t="s">
        <v>16</v>
      </c>
      <c r="C719" s="26" t="s">
        <v>72</v>
      </c>
      <c r="D719" s="26" t="s">
        <v>26</v>
      </c>
      <c r="E719" s="26" t="n">
        <v>18</v>
      </c>
    </row>
    <row r="720" customFormat="false" ht="15" hidden="false" customHeight="false" outlineLevel="0" collapsed="false">
      <c r="A720" s="25" t="n">
        <v>46237</v>
      </c>
      <c r="B720" s="26" t="s">
        <v>16</v>
      </c>
      <c r="C720" s="26" t="s">
        <v>73</v>
      </c>
      <c r="D720" s="26" t="s">
        <v>26</v>
      </c>
      <c r="E720" s="26" t="n">
        <v>44</v>
      </c>
    </row>
    <row r="721" customFormat="false" ht="15" hidden="false" customHeight="false" outlineLevel="0" collapsed="false">
      <c r="A721" s="25" t="n">
        <v>46237</v>
      </c>
      <c r="B721" s="26" t="s">
        <v>16</v>
      </c>
      <c r="C721" s="26" t="s">
        <v>73</v>
      </c>
      <c r="D721" s="26" t="s">
        <v>28</v>
      </c>
      <c r="E721" s="26" t="n">
        <v>45</v>
      </c>
    </row>
    <row r="722" customFormat="false" ht="15" hidden="false" customHeight="false" outlineLevel="0" collapsed="false">
      <c r="A722" s="25" t="n">
        <v>46237</v>
      </c>
      <c r="B722" s="26" t="s">
        <v>16</v>
      </c>
      <c r="C722" s="26" t="s">
        <v>73</v>
      </c>
      <c r="D722" s="26" t="s">
        <v>28</v>
      </c>
      <c r="E722" s="26" t="n">
        <v>71</v>
      </c>
    </row>
    <row r="723" customFormat="false" ht="15" hidden="false" customHeight="false" outlineLevel="0" collapsed="false">
      <c r="A723" s="25" t="n">
        <v>46237</v>
      </c>
      <c r="B723" s="26" t="s">
        <v>16</v>
      </c>
      <c r="C723" s="26" t="s">
        <v>73</v>
      </c>
      <c r="D723" s="26" t="s">
        <v>29</v>
      </c>
      <c r="E723" s="26" t="n">
        <v>13</v>
      </c>
    </row>
    <row r="724" customFormat="false" ht="15" hidden="false" customHeight="false" outlineLevel="0" collapsed="false">
      <c r="A724" s="25" t="n">
        <v>46237</v>
      </c>
      <c r="B724" s="26" t="s">
        <v>17</v>
      </c>
      <c r="C724" s="26" t="s">
        <v>72</v>
      </c>
      <c r="D724" s="26" t="s">
        <v>30</v>
      </c>
      <c r="E724" s="26" t="n">
        <v>69</v>
      </c>
    </row>
    <row r="725" customFormat="false" ht="15" hidden="false" customHeight="false" outlineLevel="0" collapsed="false">
      <c r="A725" s="25" t="n">
        <v>46237</v>
      </c>
      <c r="B725" s="26" t="s">
        <v>17</v>
      </c>
      <c r="C725" s="26" t="s">
        <v>73</v>
      </c>
      <c r="D725" s="26" t="s">
        <v>26</v>
      </c>
      <c r="E725" s="26" t="n">
        <v>38</v>
      </c>
    </row>
    <row r="726" customFormat="false" ht="15" hidden="false" customHeight="false" outlineLevel="0" collapsed="false">
      <c r="A726" s="25" t="n">
        <v>46237</v>
      </c>
      <c r="B726" s="26" t="s">
        <v>17</v>
      </c>
      <c r="C726" s="26" t="s">
        <v>73</v>
      </c>
      <c r="D726" s="26" t="s">
        <v>29</v>
      </c>
      <c r="E726" s="26" t="n">
        <v>9</v>
      </c>
    </row>
    <row r="727" customFormat="false" ht="15" hidden="false" customHeight="false" outlineLevel="0" collapsed="false">
      <c r="A727" s="25" t="n">
        <v>46237</v>
      </c>
      <c r="B727" s="26" t="s">
        <v>17</v>
      </c>
      <c r="C727" s="26" t="s">
        <v>73</v>
      </c>
      <c r="D727" s="26" t="s">
        <v>26</v>
      </c>
      <c r="E727" s="26" t="n">
        <v>31</v>
      </c>
    </row>
    <row r="728" customFormat="false" ht="15" hidden="false" customHeight="false" outlineLevel="0" collapsed="false">
      <c r="A728" s="25" t="n">
        <v>46237</v>
      </c>
      <c r="B728" s="26" t="s">
        <v>17</v>
      </c>
      <c r="C728" s="26" t="s">
        <v>74</v>
      </c>
      <c r="D728" s="26" t="s">
        <v>32</v>
      </c>
      <c r="E728" s="26" t="n">
        <v>17</v>
      </c>
    </row>
    <row r="729" customFormat="false" ht="15" hidden="false" customHeight="false" outlineLevel="0" collapsed="false">
      <c r="A729" s="25" t="n">
        <v>46237</v>
      </c>
      <c r="B729" s="26" t="s">
        <v>17</v>
      </c>
      <c r="C729" s="26" t="s">
        <v>74</v>
      </c>
      <c r="D729" s="26" t="s">
        <v>30</v>
      </c>
      <c r="E729" s="26" t="n">
        <v>45</v>
      </c>
    </row>
    <row r="730" customFormat="false" ht="15" hidden="false" customHeight="false" outlineLevel="0" collapsed="false">
      <c r="A730" s="25" t="n">
        <v>46237</v>
      </c>
      <c r="B730" s="26" t="s">
        <v>17</v>
      </c>
      <c r="C730" s="26" t="s">
        <v>74</v>
      </c>
      <c r="D730" s="26" t="s">
        <v>26</v>
      </c>
      <c r="E730" s="26" t="n">
        <v>35</v>
      </c>
    </row>
    <row r="731" customFormat="false" ht="15" hidden="false" customHeight="false" outlineLevel="0" collapsed="false">
      <c r="A731" s="25" t="n">
        <v>46237</v>
      </c>
      <c r="B731" s="26" t="s">
        <v>17</v>
      </c>
      <c r="C731" s="26" t="s">
        <v>74</v>
      </c>
      <c r="D731" s="26" t="s">
        <v>29</v>
      </c>
      <c r="E731" s="26" t="n">
        <v>9</v>
      </c>
    </row>
    <row r="732" customFormat="false" ht="15" hidden="false" customHeight="false" outlineLevel="0" collapsed="false">
      <c r="A732" s="25" t="n">
        <v>46237</v>
      </c>
      <c r="B732" s="26" t="s">
        <v>18</v>
      </c>
      <c r="C732" s="26" t="s">
        <v>72</v>
      </c>
      <c r="D732" s="26" t="s">
        <v>28</v>
      </c>
      <c r="E732" s="26" t="n">
        <v>41</v>
      </c>
    </row>
    <row r="733" customFormat="false" ht="15" hidden="false" customHeight="false" outlineLevel="0" collapsed="false">
      <c r="A733" s="25" t="n">
        <v>46237</v>
      </c>
      <c r="B733" s="26" t="s">
        <v>18</v>
      </c>
      <c r="C733" s="26" t="s">
        <v>73</v>
      </c>
      <c r="D733" s="26" t="s">
        <v>26</v>
      </c>
      <c r="E733" s="26" t="n">
        <v>18</v>
      </c>
    </row>
    <row r="734" customFormat="false" ht="15" hidden="false" customHeight="false" outlineLevel="0" collapsed="false">
      <c r="A734" s="25" t="n">
        <v>46237</v>
      </c>
      <c r="B734" s="26" t="s">
        <v>18</v>
      </c>
      <c r="C734" s="26" t="s">
        <v>74</v>
      </c>
      <c r="D734" s="26" t="s">
        <v>27</v>
      </c>
      <c r="E734" s="26" t="n">
        <v>55</v>
      </c>
    </row>
    <row r="735" customFormat="false" ht="15" hidden="false" customHeight="false" outlineLevel="0" collapsed="false">
      <c r="A735" s="25" t="n">
        <v>46237</v>
      </c>
      <c r="B735" s="26" t="s">
        <v>18</v>
      </c>
      <c r="C735" s="26" t="s">
        <v>74</v>
      </c>
      <c r="D735" s="26" t="s">
        <v>30</v>
      </c>
      <c r="E735" s="26" t="n">
        <v>81</v>
      </c>
    </row>
    <row r="736" customFormat="false" ht="15" hidden="false" customHeight="false" outlineLevel="0" collapsed="false">
      <c r="A736" s="25" t="n">
        <v>46237</v>
      </c>
      <c r="B736" s="26" t="s">
        <v>18</v>
      </c>
      <c r="C736" s="26" t="s">
        <v>74</v>
      </c>
      <c r="D736" s="26" t="s">
        <v>31</v>
      </c>
      <c r="E736" s="26" t="n">
        <v>43</v>
      </c>
    </row>
    <row r="737" customFormat="false" ht="15" hidden="false" customHeight="false" outlineLevel="0" collapsed="false">
      <c r="A737" s="25" t="n">
        <v>46238</v>
      </c>
      <c r="B737" s="26" t="s">
        <v>16</v>
      </c>
      <c r="C737" s="26" t="s">
        <v>72</v>
      </c>
      <c r="D737" s="26" t="s">
        <v>31</v>
      </c>
      <c r="E737" s="26" t="n">
        <v>50</v>
      </c>
    </row>
    <row r="738" customFormat="false" ht="15" hidden="false" customHeight="false" outlineLevel="0" collapsed="false">
      <c r="A738" s="25" t="n">
        <v>46238</v>
      </c>
      <c r="B738" s="26" t="s">
        <v>16</v>
      </c>
      <c r="C738" s="26" t="s">
        <v>73</v>
      </c>
      <c r="D738" s="26" t="s">
        <v>29</v>
      </c>
      <c r="E738" s="26" t="n">
        <v>24</v>
      </c>
    </row>
    <row r="739" customFormat="false" ht="15" hidden="false" customHeight="false" outlineLevel="0" collapsed="false">
      <c r="A739" s="25" t="n">
        <v>46238</v>
      </c>
      <c r="B739" s="26" t="s">
        <v>16</v>
      </c>
      <c r="C739" s="26" t="s">
        <v>73</v>
      </c>
      <c r="D739" s="26" t="s">
        <v>32</v>
      </c>
      <c r="E739" s="26" t="n">
        <v>12</v>
      </c>
    </row>
    <row r="740" customFormat="false" ht="15" hidden="false" customHeight="false" outlineLevel="0" collapsed="false">
      <c r="A740" s="25" t="n">
        <v>46238</v>
      </c>
      <c r="B740" s="26" t="s">
        <v>16</v>
      </c>
      <c r="C740" s="26" t="s">
        <v>73</v>
      </c>
      <c r="D740" s="26" t="s">
        <v>26</v>
      </c>
      <c r="E740" s="26" t="n">
        <v>30</v>
      </c>
    </row>
    <row r="741" customFormat="false" ht="15" hidden="false" customHeight="false" outlineLevel="0" collapsed="false">
      <c r="A741" s="25" t="n">
        <v>46238</v>
      </c>
      <c r="B741" s="26" t="s">
        <v>16</v>
      </c>
      <c r="C741" s="26" t="s">
        <v>74</v>
      </c>
      <c r="D741" s="26" t="s">
        <v>30</v>
      </c>
      <c r="E741" s="26" t="n">
        <v>51</v>
      </c>
    </row>
    <row r="742" customFormat="false" ht="15" hidden="false" customHeight="false" outlineLevel="0" collapsed="false">
      <c r="A742" s="25" t="n">
        <v>46238</v>
      </c>
      <c r="B742" s="26" t="s">
        <v>16</v>
      </c>
      <c r="C742" s="26" t="s">
        <v>74</v>
      </c>
      <c r="D742" s="26" t="s">
        <v>28</v>
      </c>
      <c r="E742" s="26" t="n">
        <v>26</v>
      </c>
    </row>
    <row r="743" customFormat="false" ht="15" hidden="false" customHeight="false" outlineLevel="0" collapsed="false">
      <c r="A743" s="25" t="n">
        <v>46238</v>
      </c>
      <c r="B743" s="26" t="s">
        <v>16</v>
      </c>
      <c r="C743" s="26" t="s">
        <v>74</v>
      </c>
      <c r="D743" s="26" t="s">
        <v>26</v>
      </c>
      <c r="E743" s="26" t="n">
        <v>37</v>
      </c>
    </row>
    <row r="744" customFormat="false" ht="15" hidden="false" customHeight="false" outlineLevel="0" collapsed="false">
      <c r="A744" s="25" t="n">
        <v>46238</v>
      </c>
      <c r="B744" s="26" t="s">
        <v>17</v>
      </c>
      <c r="C744" s="26" t="s">
        <v>72</v>
      </c>
      <c r="D744" s="26" t="s">
        <v>29</v>
      </c>
      <c r="E744" s="26" t="n">
        <v>13</v>
      </c>
    </row>
    <row r="745" customFormat="false" ht="15" hidden="false" customHeight="false" outlineLevel="0" collapsed="false">
      <c r="A745" s="25" t="n">
        <v>46238</v>
      </c>
      <c r="B745" s="26" t="s">
        <v>17</v>
      </c>
      <c r="C745" s="26" t="s">
        <v>72</v>
      </c>
      <c r="D745" s="26" t="s">
        <v>28</v>
      </c>
      <c r="E745" s="26" t="n">
        <v>41</v>
      </c>
    </row>
    <row r="746" customFormat="false" ht="15" hidden="false" customHeight="false" outlineLevel="0" collapsed="false">
      <c r="A746" s="25" t="n">
        <v>46238</v>
      </c>
      <c r="B746" s="26" t="s">
        <v>17</v>
      </c>
      <c r="C746" s="26" t="s">
        <v>72</v>
      </c>
      <c r="D746" s="26" t="s">
        <v>30</v>
      </c>
      <c r="E746" s="26" t="n">
        <v>38</v>
      </c>
    </row>
    <row r="747" customFormat="false" ht="15" hidden="false" customHeight="false" outlineLevel="0" collapsed="false">
      <c r="A747" s="25" t="n">
        <v>46238</v>
      </c>
      <c r="B747" s="26" t="s">
        <v>17</v>
      </c>
      <c r="C747" s="26" t="s">
        <v>72</v>
      </c>
      <c r="D747" s="26" t="s">
        <v>26</v>
      </c>
      <c r="E747" s="26" t="n">
        <v>31</v>
      </c>
    </row>
    <row r="748" customFormat="false" ht="15" hidden="false" customHeight="false" outlineLevel="0" collapsed="false">
      <c r="A748" s="25" t="n">
        <v>46238</v>
      </c>
      <c r="B748" s="26" t="s">
        <v>17</v>
      </c>
      <c r="C748" s="26" t="s">
        <v>73</v>
      </c>
      <c r="D748" s="26" t="s">
        <v>26</v>
      </c>
      <c r="E748" s="26" t="n">
        <v>39</v>
      </c>
    </row>
    <row r="749" customFormat="false" ht="15" hidden="false" customHeight="false" outlineLevel="0" collapsed="false">
      <c r="A749" s="25" t="n">
        <v>46238</v>
      </c>
      <c r="B749" s="26" t="s">
        <v>17</v>
      </c>
      <c r="C749" s="26" t="s">
        <v>73</v>
      </c>
      <c r="D749" s="26" t="s">
        <v>27</v>
      </c>
      <c r="E749" s="26" t="n">
        <v>43</v>
      </c>
    </row>
    <row r="750" customFormat="false" ht="15" hidden="false" customHeight="false" outlineLevel="0" collapsed="false">
      <c r="A750" s="25" t="n">
        <v>46238</v>
      </c>
      <c r="B750" s="26" t="s">
        <v>17</v>
      </c>
      <c r="C750" s="26" t="s">
        <v>73</v>
      </c>
      <c r="D750" s="26" t="s">
        <v>26</v>
      </c>
      <c r="E750" s="26" t="n">
        <v>45</v>
      </c>
    </row>
    <row r="751" customFormat="false" ht="15" hidden="false" customHeight="false" outlineLevel="0" collapsed="false">
      <c r="A751" s="25" t="n">
        <v>46238</v>
      </c>
      <c r="B751" s="26" t="s">
        <v>17</v>
      </c>
      <c r="C751" s="26" t="s">
        <v>73</v>
      </c>
      <c r="D751" s="26" t="s">
        <v>27</v>
      </c>
      <c r="E751" s="26" t="n">
        <v>24</v>
      </c>
    </row>
    <row r="752" customFormat="false" ht="15" hidden="false" customHeight="false" outlineLevel="0" collapsed="false">
      <c r="A752" s="25" t="n">
        <v>46238</v>
      </c>
      <c r="B752" s="26" t="s">
        <v>17</v>
      </c>
      <c r="C752" s="26" t="s">
        <v>73</v>
      </c>
      <c r="D752" s="26" t="s">
        <v>30</v>
      </c>
      <c r="E752" s="26" t="n">
        <v>23</v>
      </c>
    </row>
    <row r="753" customFormat="false" ht="15" hidden="false" customHeight="false" outlineLevel="0" collapsed="false">
      <c r="A753" s="25" t="n">
        <v>46238</v>
      </c>
      <c r="B753" s="26" t="s">
        <v>17</v>
      </c>
      <c r="C753" s="26" t="s">
        <v>74</v>
      </c>
      <c r="D753" s="26" t="s">
        <v>30</v>
      </c>
      <c r="E753" s="26" t="n">
        <v>36</v>
      </c>
    </row>
    <row r="754" customFormat="false" ht="15" hidden="false" customHeight="false" outlineLevel="0" collapsed="false">
      <c r="A754" s="25" t="n">
        <v>46238</v>
      </c>
      <c r="B754" s="26" t="s">
        <v>17</v>
      </c>
      <c r="C754" s="26" t="s">
        <v>74</v>
      </c>
      <c r="D754" s="26" t="s">
        <v>26</v>
      </c>
      <c r="E754" s="26" t="n">
        <v>78</v>
      </c>
    </row>
    <row r="755" customFormat="false" ht="15" hidden="false" customHeight="false" outlineLevel="0" collapsed="false">
      <c r="A755" s="25" t="n">
        <v>46238</v>
      </c>
      <c r="B755" s="26" t="s">
        <v>17</v>
      </c>
      <c r="C755" s="26" t="s">
        <v>74</v>
      </c>
      <c r="D755" s="26" t="s">
        <v>26</v>
      </c>
      <c r="E755" s="26" t="n">
        <v>42</v>
      </c>
    </row>
    <row r="756" customFormat="false" ht="15" hidden="false" customHeight="false" outlineLevel="0" collapsed="false">
      <c r="A756" s="25" t="n">
        <v>46238</v>
      </c>
      <c r="B756" s="26" t="s">
        <v>17</v>
      </c>
      <c r="C756" s="26" t="s">
        <v>74</v>
      </c>
      <c r="D756" s="26" t="s">
        <v>27</v>
      </c>
      <c r="E756" s="26" t="n">
        <v>43</v>
      </c>
    </row>
    <row r="757" customFormat="false" ht="15" hidden="false" customHeight="false" outlineLevel="0" collapsed="false">
      <c r="A757" s="25" t="n">
        <v>46238</v>
      </c>
      <c r="B757" s="26" t="s">
        <v>18</v>
      </c>
      <c r="C757" s="26" t="s">
        <v>72</v>
      </c>
      <c r="D757" s="26" t="s">
        <v>30</v>
      </c>
      <c r="E757" s="26" t="n">
        <v>13</v>
      </c>
    </row>
    <row r="758" customFormat="false" ht="15" hidden="false" customHeight="false" outlineLevel="0" collapsed="false">
      <c r="A758" s="25" t="n">
        <v>46238</v>
      </c>
      <c r="B758" s="26" t="s">
        <v>18</v>
      </c>
      <c r="C758" s="26" t="s">
        <v>72</v>
      </c>
      <c r="D758" s="26" t="s">
        <v>27</v>
      </c>
      <c r="E758" s="26" t="n">
        <v>10</v>
      </c>
    </row>
    <row r="759" customFormat="false" ht="15" hidden="false" customHeight="false" outlineLevel="0" collapsed="false">
      <c r="A759" s="25" t="n">
        <v>46238</v>
      </c>
      <c r="B759" s="26" t="s">
        <v>18</v>
      </c>
      <c r="C759" s="26" t="s">
        <v>73</v>
      </c>
      <c r="D759" s="26" t="s">
        <v>26</v>
      </c>
      <c r="E759" s="26" t="n">
        <v>40</v>
      </c>
    </row>
    <row r="760" customFormat="false" ht="15" hidden="false" customHeight="false" outlineLevel="0" collapsed="false">
      <c r="A760" s="25" t="n">
        <v>46238</v>
      </c>
      <c r="B760" s="26" t="s">
        <v>18</v>
      </c>
      <c r="C760" s="26" t="s">
        <v>73</v>
      </c>
      <c r="D760" s="26" t="s">
        <v>28</v>
      </c>
      <c r="E760" s="26" t="n">
        <v>91</v>
      </c>
    </row>
    <row r="761" customFormat="false" ht="15" hidden="false" customHeight="false" outlineLevel="0" collapsed="false">
      <c r="A761" s="25" t="n">
        <v>46238</v>
      </c>
      <c r="B761" s="26" t="s">
        <v>18</v>
      </c>
      <c r="C761" s="26" t="s">
        <v>73</v>
      </c>
      <c r="D761" s="26" t="s">
        <v>27</v>
      </c>
      <c r="E761" s="26" t="n">
        <v>12</v>
      </c>
    </row>
    <row r="762" customFormat="false" ht="15" hidden="false" customHeight="false" outlineLevel="0" collapsed="false">
      <c r="A762" s="25" t="n">
        <v>46238</v>
      </c>
      <c r="B762" s="26" t="s">
        <v>18</v>
      </c>
      <c r="C762" s="26" t="s">
        <v>73</v>
      </c>
      <c r="D762" s="26" t="s">
        <v>32</v>
      </c>
      <c r="E762" s="26" t="n">
        <v>8</v>
      </c>
    </row>
    <row r="763" customFormat="false" ht="15" hidden="false" customHeight="false" outlineLevel="0" collapsed="false">
      <c r="A763" s="25" t="n">
        <v>46238</v>
      </c>
      <c r="B763" s="26" t="s">
        <v>18</v>
      </c>
      <c r="C763" s="26" t="s">
        <v>74</v>
      </c>
      <c r="D763" s="26" t="s">
        <v>31</v>
      </c>
      <c r="E763" s="26" t="n">
        <v>52</v>
      </c>
    </row>
    <row r="764" customFormat="false" ht="15" hidden="false" customHeight="false" outlineLevel="0" collapsed="false">
      <c r="A764" s="25" t="n">
        <v>46239</v>
      </c>
      <c r="B764" s="26" t="s">
        <v>16</v>
      </c>
      <c r="C764" s="26" t="s">
        <v>72</v>
      </c>
      <c r="D764" s="26" t="s">
        <v>28</v>
      </c>
      <c r="E764" s="26" t="n">
        <v>29</v>
      </c>
    </row>
    <row r="765" customFormat="false" ht="15" hidden="false" customHeight="false" outlineLevel="0" collapsed="false">
      <c r="A765" s="25" t="n">
        <v>46239</v>
      </c>
      <c r="B765" s="26" t="s">
        <v>16</v>
      </c>
      <c r="C765" s="26" t="s">
        <v>73</v>
      </c>
      <c r="D765" s="26" t="s">
        <v>31</v>
      </c>
      <c r="E765" s="26" t="n">
        <v>57</v>
      </c>
    </row>
    <row r="766" customFormat="false" ht="15" hidden="false" customHeight="false" outlineLevel="0" collapsed="false">
      <c r="A766" s="25" t="n">
        <v>46239</v>
      </c>
      <c r="B766" s="26" t="s">
        <v>16</v>
      </c>
      <c r="C766" s="26" t="s">
        <v>74</v>
      </c>
      <c r="D766" s="26" t="s">
        <v>30</v>
      </c>
      <c r="E766" s="26" t="n">
        <v>25</v>
      </c>
    </row>
    <row r="767" customFormat="false" ht="15" hidden="false" customHeight="false" outlineLevel="0" collapsed="false">
      <c r="A767" s="25" t="n">
        <v>46239</v>
      </c>
      <c r="B767" s="26" t="s">
        <v>16</v>
      </c>
      <c r="C767" s="26" t="s">
        <v>74</v>
      </c>
      <c r="D767" s="26" t="s">
        <v>28</v>
      </c>
      <c r="E767" s="26" t="n">
        <v>30</v>
      </c>
    </row>
    <row r="768" customFormat="false" ht="15" hidden="false" customHeight="false" outlineLevel="0" collapsed="false">
      <c r="A768" s="25" t="n">
        <v>46239</v>
      </c>
      <c r="B768" s="26" t="s">
        <v>17</v>
      </c>
      <c r="C768" s="26" t="s">
        <v>72</v>
      </c>
      <c r="D768" s="26" t="s">
        <v>26</v>
      </c>
      <c r="E768" s="26" t="n">
        <v>35</v>
      </c>
    </row>
    <row r="769" customFormat="false" ht="15" hidden="false" customHeight="false" outlineLevel="0" collapsed="false">
      <c r="A769" s="25" t="n">
        <v>46239</v>
      </c>
      <c r="B769" s="26" t="s">
        <v>17</v>
      </c>
      <c r="C769" s="26" t="s">
        <v>72</v>
      </c>
      <c r="D769" s="26" t="s">
        <v>26</v>
      </c>
      <c r="E769" s="26" t="n">
        <v>18</v>
      </c>
    </row>
    <row r="770" customFormat="false" ht="15" hidden="false" customHeight="false" outlineLevel="0" collapsed="false">
      <c r="A770" s="25" t="n">
        <v>46239</v>
      </c>
      <c r="B770" s="26" t="s">
        <v>17</v>
      </c>
      <c r="C770" s="26" t="s">
        <v>72</v>
      </c>
      <c r="D770" s="26" t="s">
        <v>29</v>
      </c>
      <c r="E770" s="26" t="n">
        <v>13</v>
      </c>
    </row>
    <row r="771" customFormat="false" ht="15" hidden="false" customHeight="false" outlineLevel="0" collapsed="false">
      <c r="A771" s="25" t="n">
        <v>46239</v>
      </c>
      <c r="B771" s="26" t="s">
        <v>17</v>
      </c>
      <c r="C771" s="26" t="s">
        <v>73</v>
      </c>
      <c r="D771" s="26" t="s">
        <v>28</v>
      </c>
      <c r="E771" s="26" t="n">
        <v>18</v>
      </c>
    </row>
    <row r="772" customFormat="false" ht="15" hidden="false" customHeight="false" outlineLevel="0" collapsed="false">
      <c r="A772" s="25" t="n">
        <v>46239</v>
      </c>
      <c r="B772" s="26" t="s">
        <v>17</v>
      </c>
      <c r="C772" s="26" t="s">
        <v>74</v>
      </c>
      <c r="D772" s="26" t="s">
        <v>28</v>
      </c>
      <c r="E772" s="26" t="n">
        <v>56</v>
      </c>
    </row>
    <row r="773" customFormat="false" ht="15" hidden="false" customHeight="false" outlineLevel="0" collapsed="false">
      <c r="A773" s="25" t="n">
        <v>46239</v>
      </c>
      <c r="B773" s="26" t="s">
        <v>17</v>
      </c>
      <c r="C773" s="26" t="s">
        <v>74</v>
      </c>
      <c r="D773" s="26" t="s">
        <v>26</v>
      </c>
      <c r="E773" s="26" t="n">
        <v>13</v>
      </c>
    </row>
    <row r="774" customFormat="false" ht="15" hidden="false" customHeight="false" outlineLevel="0" collapsed="false">
      <c r="A774" s="25" t="n">
        <v>46239</v>
      </c>
      <c r="B774" s="26" t="s">
        <v>17</v>
      </c>
      <c r="C774" s="26" t="s">
        <v>74</v>
      </c>
      <c r="D774" s="26" t="s">
        <v>30</v>
      </c>
      <c r="E774" s="26" t="n">
        <v>19</v>
      </c>
    </row>
    <row r="775" customFormat="false" ht="15" hidden="false" customHeight="false" outlineLevel="0" collapsed="false">
      <c r="A775" s="25" t="n">
        <v>46239</v>
      </c>
      <c r="B775" s="26" t="s">
        <v>17</v>
      </c>
      <c r="C775" s="26" t="s">
        <v>74</v>
      </c>
      <c r="D775" s="26" t="s">
        <v>27</v>
      </c>
      <c r="E775" s="26" t="n">
        <v>26</v>
      </c>
    </row>
    <row r="776" customFormat="false" ht="15" hidden="false" customHeight="false" outlineLevel="0" collapsed="false">
      <c r="A776" s="25" t="n">
        <v>46239</v>
      </c>
      <c r="B776" s="26" t="s">
        <v>17</v>
      </c>
      <c r="C776" s="26" t="s">
        <v>74</v>
      </c>
      <c r="D776" s="26" t="s">
        <v>29</v>
      </c>
      <c r="E776" s="26" t="n">
        <v>15</v>
      </c>
    </row>
    <row r="777" customFormat="false" ht="15" hidden="false" customHeight="false" outlineLevel="0" collapsed="false">
      <c r="A777" s="25" t="n">
        <v>46239</v>
      </c>
      <c r="B777" s="26" t="s">
        <v>17</v>
      </c>
      <c r="C777" s="26" t="s">
        <v>74</v>
      </c>
      <c r="D777" s="26" t="s">
        <v>26</v>
      </c>
      <c r="E777" s="26" t="n">
        <v>22</v>
      </c>
    </row>
    <row r="778" customFormat="false" ht="15" hidden="false" customHeight="false" outlineLevel="0" collapsed="false">
      <c r="A778" s="25" t="n">
        <v>46239</v>
      </c>
      <c r="B778" s="26" t="s">
        <v>18</v>
      </c>
      <c r="C778" s="26" t="s">
        <v>72</v>
      </c>
      <c r="D778" s="26" t="s">
        <v>32</v>
      </c>
      <c r="E778" s="26" t="n">
        <v>12</v>
      </c>
    </row>
    <row r="779" customFormat="false" ht="15" hidden="false" customHeight="false" outlineLevel="0" collapsed="false">
      <c r="A779" s="25" t="n">
        <v>46239</v>
      </c>
      <c r="B779" s="26" t="s">
        <v>18</v>
      </c>
      <c r="C779" s="26" t="s">
        <v>72</v>
      </c>
      <c r="D779" s="26" t="s">
        <v>26</v>
      </c>
      <c r="E779" s="26" t="n">
        <v>30</v>
      </c>
    </row>
    <row r="780" customFormat="false" ht="15" hidden="false" customHeight="false" outlineLevel="0" collapsed="false">
      <c r="A780" s="25" t="n">
        <v>46239</v>
      </c>
      <c r="B780" s="26" t="s">
        <v>18</v>
      </c>
      <c r="C780" s="26" t="s">
        <v>72</v>
      </c>
      <c r="D780" s="26" t="s">
        <v>27</v>
      </c>
      <c r="E780" s="26" t="n">
        <v>19</v>
      </c>
    </row>
    <row r="781" customFormat="false" ht="15" hidden="false" customHeight="false" outlineLevel="0" collapsed="false">
      <c r="A781" s="25" t="n">
        <v>46239</v>
      </c>
      <c r="B781" s="26" t="s">
        <v>18</v>
      </c>
      <c r="C781" s="26" t="s">
        <v>72</v>
      </c>
      <c r="D781" s="26" t="s">
        <v>31</v>
      </c>
      <c r="E781" s="26" t="n">
        <v>45</v>
      </c>
    </row>
    <row r="782" customFormat="false" ht="15" hidden="false" customHeight="false" outlineLevel="0" collapsed="false">
      <c r="A782" s="25" t="n">
        <v>46239</v>
      </c>
      <c r="B782" s="26" t="s">
        <v>18</v>
      </c>
      <c r="C782" s="26" t="s">
        <v>72</v>
      </c>
      <c r="D782" s="26" t="s">
        <v>28</v>
      </c>
      <c r="E782" s="26" t="n">
        <v>35</v>
      </c>
    </row>
    <row r="783" customFormat="false" ht="15" hidden="false" customHeight="false" outlineLevel="0" collapsed="false">
      <c r="A783" s="25" t="n">
        <v>46239</v>
      </c>
      <c r="B783" s="26" t="s">
        <v>18</v>
      </c>
      <c r="C783" s="26" t="s">
        <v>72</v>
      </c>
      <c r="D783" s="26" t="s">
        <v>26</v>
      </c>
      <c r="E783" s="26" t="n">
        <v>35</v>
      </c>
    </row>
    <row r="784" customFormat="false" ht="15" hidden="false" customHeight="false" outlineLevel="0" collapsed="false">
      <c r="A784" s="25" t="n">
        <v>46239</v>
      </c>
      <c r="B784" s="26" t="s">
        <v>18</v>
      </c>
      <c r="C784" s="26" t="s">
        <v>72</v>
      </c>
      <c r="D784" s="26" t="s">
        <v>28</v>
      </c>
      <c r="E784" s="26" t="n">
        <v>39</v>
      </c>
    </row>
    <row r="785" customFormat="false" ht="15" hidden="false" customHeight="false" outlineLevel="0" collapsed="false">
      <c r="A785" s="25" t="n">
        <v>46239</v>
      </c>
      <c r="B785" s="26" t="s">
        <v>18</v>
      </c>
      <c r="C785" s="26" t="s">
        <v>73</v>
      </c>
      <c r="D785" s="26" t="s">
        <v>26</v>
      </c>
      <c r="E785" s="26" t="n">
        <v>46</v>
      </c>
    </row>
    <row r="786" customFormat="false" ht="15" hidden="false" customHeight="false" outlineLevel="0" collapsed="false">
      <c r="A786" s="25" t="n">
        <v>46239</v>
      </c>
      <c r="B786" s="26" t="s">
        <v>18</v>
      </c>
      <c r="C786" s="26" t="s">
        <v>73</v>
      </c>
      <c r="D786" s="26" t="s">
        <v>32</v>
      </c>
      <c r="E786" s="26" t="n">
        <v>28</v>
      </c>
    </row>
    <row r="787" customFormat="false" ht="15" hidden="false" customHeight="false" outlineLevel="0" collapsed="false">
      <c r="A787" s="25" t="n">
        <v>46239</v>
      </c>
      <c r="B787" s="26" t="s">
        <v>18</v>
      </c>
      <c r="C787" s="26" t="s">
        <v>73</v>
      </c>
      <c r="D787" s="26" t="s">
        <v>26</v>
      </c>
      <c r="E787" s="26" t="n">
        <v>33</v>
      </c>
    </row>
    <row r="788" customFormat="false" ht="15" hidden="false" customHeight="false" outlineLevel="0" collapsed="false">
      <c r="A788" s="25" t="n">
        <v>46239</v>
      </c>
      <c r="B788" s="26" t="s">
        <v>18</v>
      </c>
      <c r="C788" s="26" t="s">
        <v>74</v>
      </c>
      <c r="D788" s="26" t="s">
        <v>30</v>
      </c>
      <c r="E788" s="26" t="n">
        <v>29</v>
      </c>
    </row>
    <row r="789" customFormat="false" ht="15" hidden="false" customHeight="false" outlineLevel="0" collapsed="false">
      <c r="A789" s="25" t="n">
        <v>46240</v>
      </c>
      <c r="B789" s="26" t="s">
        <v>16</v>
      </c>
      <c r="C789" s="26" t="s">
        <v>72</v>
      </c>
      <c r="D789" s="26" t="s">
        <v>32</v>
      </c>
      <c r="E789" s="26" t="n">
        <v>12</v>
      </c>
    </row>
    <row r="790" customFormat="false" ht="15" hidden="false" customHeight="false" outlineLevel="0" collapsed="false">
      <c r="A790" s="25" t="n">
        <v>46240</v>
      </c>
      <c r="B790" s="26" t="s">
        <v>16</v>
      </c>
      <c r="C790" s="26" t="s">
        <v>72</v>
      </c>
      <c r="D790" s="26" t="s">
        <v>32</v>
      </c>
      <c r="E790" s="26" t="n">
        <v>15</v>
      </c>
    </row>
    <row r="791" customFormat="false" ht="15" hidden="false" customHeight="false" outlineLevel="0" collapsed="false">
      <c r="A791" s="25" t="n">
        <v>46240</v>
      </c>
      <c r="B791" s="26" t="s">
        <v>16</v>
      </c>
      <c r="C791" s="26" t="s">
        <v>72</v>
      </c>
      <c r="D791" s="26" t="s">
        <v>27</v>
      </c>
      <c r="E791" s="26" t="n">
        <v>33</v>
      </c>
    </row>
    <row r="792" customFormat="false" ht="15" hidden="false" customHeight="false" outlineLevel="0" collapsed="false">
      <c r="A792" s="25" t="n">
        <v>46240</v>
      </c>
      <c r="B792" s="26" t="s">
        <v>16</v>
      </c>
      <c r="C792" s="26" t="s">
        <v>72</v>
      </c>
      <c r="D792" s="26" t="s">
        <v>28</v>
      </c>
      <c r="E792" s="26" t="n">
        <v>81</v>
      </c>
    </row>
    <row r="793" customFormat="false" ht="15" hidden="false" customHeight="false" outlineLevel="0" collapsed="false">
      <c r="A793" s="25" t="n">
        <v>46240</v>
      </c>
      <c r="B793" s="26" t="s">
        <v>16</v>
      </c>
      <c r="C793" s="26" t="s">
        <v>73</v>
      </c>
      <c r="D793" s="26" t="s">
        <v>27</v>
      </c>
      <c r="E793" s="26" t="n">
        <v>15</v>
      </c>
    </row>
    <row r="794" customFormat="false" ht="15" hidden="false" customHeight="false" outlineLevel="0" collapsed="false">
      <c r="A794" s="25" t="n">
        <v>46240</v>
      </c>
      <c r="B794" s="26" t="s">
        <v>16</v>
      </c>
      <c r="C794" s="26" t="s">
        <v>73</v>
      </c>
      <c r="D794" s="26" t="s">
        <v>31</v>
      </c>
      <c r="E794" s="26" t="n">
        <v>86</v>
      </c>
    </row>
    <row r="795" customFormat="false" ht="15" hidden="false" customHeight="false" outlineLevel="0" collapsed="false">
      <c r="A795" s="25" t="n">
        <v>46240</v>
      </c>
      <c r="B795" s="26" t="s">
        <v>16</v>
      </c>
      <c r="C795" s="26" t="s">
        <v>73</v>
      </c>
      <c r="D795" s="26" t="s">
        <v>26</v>
      </c>
      <c r="E795" s="26" t="n">
        <v>43</v>
      </c>
    </row>
    <row r="796" customFormat="false" ht="15" hidden="false" customHeight="false" outlineLevel="0" collapsed="false">
      <c r="A796" s="25" t="n">
        <v>46240</v>
      </c>
      <c r="B796" s="26" t="s">
        <v>16</v>
      </c>
      <c r="C796" s="26" t="s">
        <v>74</v>
      </c>
      <c r="D796" s="26" t="s">
        <v>27</v>
      </c>
      <c r="E796" s="26" t="n">
        <v>14</v>
      </c>
    </row>
    <row r="797" customFormat="false" ht="15" hidden="false" customHeight="false" outlineLevel="0" collapsed="false">
      <c r="A797" s="25" t="n">
        <v>46240</v>
      </c>
      <c r="B797" s="26" t="s">
        <v>16</v>
      </c>
      <c r="C797" s="26" t="s">
        <v>74</v>
      </c>
      <c r="D797" s="26" t="s">
        <v>27</v>
      </c>
      <c r="E797" s="26" t="n">
        <v>16</v>
      </c>
    </row>
    <row r="798" customFormat="false" ht="15" hidden="false" customHeight="false" outlineLevel="0" collapsed="false">
      <c r="A798" s="25" t="n">
        <v>46240</v>
      </c>
      <c r="B798" s="26" t="s">
        <v>17</v>
      </c>
      <c r="C798" s="26" t="s">
        <v>72</v>
      </c>
      <c r="D798" s="26" t="s">
        <v>26</v>
      </c>
      <c r="E798" s="26" t="n">
        <v>47</v>
      </c>
    </row>
    <row r="799" customFormat="false" ht="15" hidden="false" customHeight="false" outlineLevel="0" collapsed="false">
      <c r="A799" s="25" t="n">
        <v>46240</v>
      </c>
      <c r="B799" s="26" t="s">
        <v>17</v>
      </c>
      <c r="C799" s="26" t="s">
        <v>72</v>
      </c>
      <c r="D799" s="26" t="s">
        <v>30</v>
      </c>
      <c r="E799" s="26" t="n">
        <v>32</v>
      </c>
    </row>
    <row r="800" customFormat="false" ht="15" hidden="false" customHeight="false" outlineLevel="0" collapsed="false">
      <c r="A800" s="25" t="n">
        <v>46240</v>
      </c>
      <c r="B800" s="26" t="s">
        <v>17</v>
      </c>
      <c r="C800" s="26" t="s">
        <v>73</v>
      </c>
      <c r="D800" s="26" t="s">
        <v>26</v>
      </c>
      <c r="E800" s="26" t="n">
        <v>39</v>
      </c>
    </row>
    <row r="801" customFormat="false" ht="15" hidden="false" customHeight="false" outlineLevel="0" collapsed="false">
      <c r="A801" s="25" t="n">
        <v>46240</v>
      </c>
      <c r="B801" s="26" t="s">
        <v>17</v>
      </c>
      <c r="C801" s="26" t="s">
        <v>73</v>
      </c>
      <c r="D801" s="26" t="s">
        <v>26</v>
      </c>
      <c r="E801" s="26" t="n">
        <v>37</v>
      </c>
    </row>
    <row r="802" customFormat="false" ht="15" hidden="false" customHeight="false" outlineLevel="0" collapsed="false">
      <c r="A802" s="25" t="n">
        <v>46240</v>
      </c>
      <c r="B802" s="26" t="s">
        <v>17</v>
      </c>
      <c r="C802" s="26" t="s">
        <v>73</v>
      </c>
      <c r="D802" s="26" t="s">
        <v>28</v>
      </c>
      <c r="E802" s="26" t="n">
        <v>11</v>
      </c>
    </row>
    <row r="803" customFormat="false" ht="15" hidden="false" customHeight="false" outlineLevel="0" collapsed="false">
      <c r="A803" s="25" t="n">
        <v>46240</v>
      </c>
      <c r="B803" s="26" t="s">
        <v>17</v>
      </c>
      <c r="C803" s="26" t="s">
        <v>73</v>
      </c>
      <c r="D803" s="26" t="s">
        <v>26</v>
      </c>
      <c r="E803" s="26" t="n">
        <v>49</v>
      </c>
    </row>
    <row r="804" customFormat="false" ht="15" hidden="false" customHeight="false" outlineLevel="0" collapsed="false">
      <c r="A804" s="25" t="n">
        <v>46240</v>
      </c>
      <c r="B804" s="26" t="s">
        <v>17</v>
      </c>
      <c r="C804" s="26" t="s">
        <v>73</v>
      </c>
      <c r="D804" s="26" t="s">
        <v>26</v>
      </c>
      <c r="E804" s="26" t="n">
        <v>56</v>
      </c>
    </row>
    <row r="805" customFormat="false" ht="15" hidden="false" customHeight="false" outlineLevel="0" collapsed="false">
      <c r="A805" s="25" t="n">
        <v>46240</v>
      </c>
      <c r="B805" s="26" t="s">
        <v>17</v>
      </c>
      <c r="C805" s="26" t="s">
        <v>73</v>
      </c>
      <c r="D805" s="26" t="s">
        <v>29</v>
      </c>
      <c r="E805" s="26" t="n">
        <v>18</v>
      </c>
    </row>
    <row r="806" customFormat="false" ht="15" hidden="false" customHeight="false" outlineLevel="0" collapsed="false">
      <c r="A806" s="25" t="n">
        <v>46240</v>
      </c>
      <c r="B806" s="26" t="s">
        <v>17</v>
      </c>
      <c r="C806" s="26" t="s">
        <v>74</v>
      </c>
      <c r="D806" s="26" t="s">
        <v>26</v>
      </c>
      <c r="E806" s="26" t="n">
        <v>24</v>
      </c>
    </row>
    <row r="807" customFormat="false" ht="15" hidden="false" customHeight="false" outlineLevel="0" collapsed="false">
      <c r="A807" s="25" t="n">
        <v>46240</v>
      </c>
      <c r="B807" s="26" t="s">
        <v>17</v>
      </c>
      <c r="C807" s="26" t="s">
        <v>74</v>
      </c>
      <c r="D807" s="26" t="s">
        <v>26</v>
      </c>
      <c r="E807" s="26" t="n">
        <v>20</v>
      </c>
    </row>
    <row r="808" customFormat="false" ht="15" hidden="false" customHeight="false" outlineLevel="0" collapsed="false">
      <c r="A808" s="25" t="n">
        <v>46240</v>
      </c>
      <c r="B808" s="26" t="s">
        <v>18</v>
      </c>
      <c r="C808" s="26" t="s">
        <v>73</v>
      </c>
      <c r="D808" s="26" t="s">
        <v>26</v>
      </c>
      <c r="E808" s="26" t="n">
        <v>57</v>
      </c>
    </row>
    <row r="809" customFormat="false" ht="15" hidden="false" customHeight="false" outlineLevel="0" collapsed="false">
      <c r="A809" s="25" t="n">
        <v>46240</v>
      </c>
      <c r="B809" s="26" t="s">
        <v>18</v>
      </c>
      <c r="C809" s="26" t="s">
        <v>73</v>
      </c>
      <c r="D809" s="26" t="s">
        <v>26</v>
      </c>
      <c r="E809" s="26" t="n">
        <v>30</v>
      </c>
    </row>
    <row r="810" customFormat="false" ht="15" hidden="false" customHeight="false" outlineLevel="0" collapsed="false">
      <c r="A810" s="25" t="n">
        <v>46240</v>
      </c>
      <c r="B810" s="26" t="s">
        <v>18</v>
      </c>
      <c r="C810" s="26" t="s">
        <v>73</v>
      </c>
      <c r="D810" s="26" t="s">
        <v>26</v>
      </c>
      <c r="E810" s="26" t="n">
        <v>72</v>
      </c>
    </row>
    <row r="811" customFormat="false" ht="15" hidden="false" customHeight="false" outlineLevel="0" collapsed="false">
      <c r="A811" s="25" t="n">
        <v>46240</v>
      </c>
      <c r="B811" s="26" t="s">
        <v>18</v>
      </c>
      <c r="C811" s="26" t="s">
        <v>73</v>
      </c>
      <c r="D811" s="26" t="s">
        <v>26</v>
      </c>
      <c r="E811" s="26" t="n">
        <v>61</v>
      </c>
    </row>
    <row r="812" customFormat="false" ht="15" hidden="false" customHeight="false" outlineLevel="0" collapsed="false">
      <c r="A812" s="25" t="n">
        <v>46240</v>
      </c>
      <c r="B812" s="26" t="s">
        <v>18</v>
      </c>
      <c r="C812" s="26" t="s">
        <v>74</v>
      </c>
      <c r="D812" s="26" t="s">
        <v>27</v>
      </c>
      <c r="E812" s="26" t="n">
        <v>11</v>
      </c>
    </row>
    <row r="813" customFormat="false" ht="15" hidden="false" customHeight="false" outlineLevel="0" collapsed="false">
      <c r="A813" s="25" t="n">
        <v>46241</v>
      </c>
      <c r="B813" s="26" t="s">
        <v>16</v>
      </c>
      <c r="C813" s="26" t="s">
        <v>72</v>
      </c>
      <c r="D813" s="26" t="s">
        <v>27</v>
      </c>
      <c r="E813" s="26" t="n">
        <v>19</v>
      </c>
    </row>
    <row r="814" customFormat="false" ht="15" hidden="false" customHeight="false" outlineLevel="0" collapsed="false">
      <c r="A814" s="25" t="n">
        <v>46241</v>
      </c>
      <c r="B814" s="26" t="s">
        <v>16</v>
      </c>
      <c r="C814" s="26" t="s">
        <v>73</v>
      </c>
      <c r="D814" s="26" t="s">
        <v>32</v>
      </c>
      <c r="E814" s="26" t="n">
        <v>14</v>
      </c>
    </row>
    <row r="815" customFormat="false" ht="15" hidden="false" customHeight="false" outlineLevel="0" collapsed="false">
      <c r="A815" s="25" t="n">
        <v>46241</v>
      </c>
      <c r="B815" s="26" t="s">
        <v>16</v>
      </c>
      <c r="C815" s="26" t="s">
        <v>74</v>
      </c>
      <c r="D815" s="26" t="s">
        <v>30</v>
      </c>
      <c r="E815" s="26" t="n">
        <v>37</v>
      </c>
    </row>
    <row r="816" customFormat="false" ht="15" hidden="false" customHeight="false" outlineLevel="0" collapsed="false">
      <c r="A816" s="25" t="n">
        <v>46241</v>
      </c>
      <c r="B816" s="26" t="s">
        <v>16</v>
      </c>
      <c r="C816" s="26" t="s">
        <v>74</v>
      </c>
      <c r="D816" s="26" t="s">
        <v>27</v>
      </c>
      <c r="E816" s="26" t="n">
        <v>56</v>
      </c>
    </row>
    <row r="817" customFormat="false" ht="15" hidden="false" customHeight="false" outlineLevel="0" collapsed="false">
      <c r="A817" s="25" t="n">
        <v>46241</v>
      </c>
      <c r="B817" s="26" t="s">
        <v>17</v>
      </c>
      <c r="C817" s="26" t="s">
        <v>72</v>
      </c>
      <c r="D817" s="26" t="s">
        <v>29</v>
      </c>
      <c r="E817" s="26" t="n">
        <v>7</v>
      </c>
    </row>
    <row r="818" customFormat="false" ht="15" hidden="false" customHeight="false" outlineLevel="0" collapsed="false">
      <c r="A818" s="25" t="n">
        <v>46241</v>
      </c>
      <c r="B818" s="26" t="s">
        <v>17</v>
      </c>
      <c r="C818" s="26" t="s">
        <v>72</v>
      </c>
      <c r="D818" s="26" t="s">
        <v>27</v>
      </c>
      <c r="E818" s="26" t="n">
        <v>40</v>
      </c>
    </row>
    <row r="819" customFormat="false" ht="15" hidden="false" customHeight="false" outlineLevel="0" collapsed="false">
      <c r="A819" s="25" t="n">
        <v>46241</v>
      </c>
      <c r="B819" s="26" t="s">
        <v>17</v>
      </c>
      <c r="C819" s="26" t="s">
        <v>73</v>
      </c>
      <c r="D819" s="26" t="s">
        <v>29</v>
      </c>
      <c r="E819" s="26" t="n">
        <v>13</v>
      </c>
    </row>
    <row r="820" customFormat="false" ht="15" hidden="false" customHeight="false" outlineLevel="0" collapsed="false">
      <c r="A820" s="25" t="n">
        <v>46241</v>
      </c>
      <c r="B820" s="26" t="s">
        <v>17</v>
      </c>
      <c r="C820" s="26" t="s">
        <v>73</v>
      </c>
      <c r="D820" s="26" t="s">
        <v>26</v>
      </c>
      <c r="E820" s="26" t="n">
        <v>22</v>
      </c>
    </row>
    <row r="821" customFormat="false" ht="15" hidden="false" customHeight="false" outlineLevel="0" collapsed="false">
      <c r="A821" s="25" t="n">
        <v>46241</v>
      </c>
      <c r="B821" s="26" t="s">
        <v>17</v>
      </c>
      <c r="C821" s="26" t="s">
        <v>73</v>
      </c>
      <c r="D821" s="26" t="s">
        <v>28</v>
      </c>
      <c r="E821" s="26" t="n">
        <v>54</v>
      </c>
    </row>
    <row r="822" customFormat="false" ht="15" hidden="false" customHeight="false" outlineLevel="0" collapsed="false">
      <c r="A822" s="25" t="n">
        <v>46241</v>
      </c>
      <c r="B822" s="26" t="s">
        <v>17</v>
      </c>
      <c r="C822" s="26" t="s">
        <v>74</v>
      </c>
      <c r="D822" s="26" t="s">
        <v>26</v>
      </c>
      <c r="E822" s="26" t="n">
        <v>30</v>
      </c>
    </row>
    <row r="823" customFormat="false" ht="15" hidden="false" customHeight="false" outlineLevel="0" collapsed="false">
      <c r="A823" s="25" t="n">
        <v>46241</v>
      </c>
      <c r="B823" s="26" t="s">
        <v>17</v>
      </c>
      <c r="C823" s="26" t="s">
        <v>74</v>
      </c>
      <c r="D823" s="26" t="s">
        <v>31</v>
      </c>
      <c r="E823" s="26" t="n">
        <v>75</v>
      </c>
    </row>
    <row r="824" customFormat="false" ht="15" hidden="false" customHeight="false" outlineLevel="0" collapsed="false">
      <c r="A824" s="25" t="n">
        <v>46241</v>
      </c>
      <c r="B824" s="26" t="s">
        <v>17</v>
      </c>
      <c r="C824" s="26" t="s">
        <v>74</v>
      </c>
      <c r="D824" s="26" t="s">
        <v>28</v>
      </c>
      <c r="E824" s="26" t="n">
        <v>31</v>
      </c>
    </row>
    <row r="825" customFormat="false" ht="15" hidden="false" customHeight="false" outlineLevel="0" collapsed="false">
      <c r="A825" s="25" t="n">
        <v>46241</v>
      </c>
      <c r="B825" s="26" t="s">
        <v>17</v>
      </c>
      <c r="C825" s="26" t="s">
        <v>74</v>
      </c>
      <c r="D825" s="26" t="s">
        <v>26</v>
      </c>
      <c r="E825" s="26" t="n">
        <v>22</v>
      </c>
    </row>
    <row r="826" customFormat="false" ht="15" hidden="false" customHeight="false" outlineLevel="0" collapsed="false">
      <c r="A826" s="25" t="n">
        <v>46241</v>
      </c>
      <c r="B826" s="26" t="s">
        <v>17</v>
      </c>
      <c r="C826" s="26" t="s">
        <v>74</v>
      </c>
      <c r="D826" s="26" t="s">
        <v>26</v>
      </c>
      <c r="E826" s="26" t="n">
        <v>28</v>
      </c>
    </row>
    <row r="827" customFormat="false" ht="15" hidden="false" customHeight="false" outlineLevel="0" collapsed="false">
      <c r="A827" s="25" t="n">
        <v>46241</v>
      </c>
      <c r="B827" s="26" t="s">
        <v>17</v>
      </c>
      <c r="C827" s="26" t="s">
        <v>74</v>
      </c>
      <c r="D827" s="26" t="s">
        <v>29</v>
      </c>
      <c r="E827" s="26" t="n">
        <v>12</v>
      </c>
    </row>
    <row r="828" customFormat="false" ht="15" hidden="false" customHeight="false" outlineLevel="0" collapsed="false">
      <c r="A828" s="25" t="n">
        <v>46241</v>
      </c>
      <c r="B828" s="26" t="s">
        <v>18</v>
      </c>
      <c r="C828" s="26" t="s">
        <v>72</v>
      </c>
      <c r="D828" s="26" t="s">
        <v>27</v>
      </c>
      <c r="E828" s="26" t="n">
        <v>23</v>
      </c>
    </row>
    <row r="829" customFormat="false" ht="15" hidden="false" customHeight="false" outlineLevel="0" collapsed="false">
      <c r="A829" s="25" t="n">
        <v>46241</v>
      </c>
      <c r="B829" s="26" t="s">
        <v>18</v>
      </c>
      <c r="C829" s="26" t="s">
        <v>72</v>
      </c>
      <c r="D829" s="26" t="s">
        <v>30</v>
      </c>
      <c r="E829" s="26" t="n">
        <v>30</v>
      </c>
    </row>
    <row r="830" customFormat="false" ht="15" hidden="false" customHeight="false" outlineLevel="0" collapsed="false">
      <c r="A830" s="25" t="n">
        <v>46241</v>
      </c>
      <c r="B830" s="26" t="s">
        <v>18</v>
      </c>
      <c r="C830" s="26" t="s">
        <v>72</v>
      </c>
      <c r="D830" s="26" t="s">
        <v>26</v>
      </c>
      <c r="E830" s="26" t="n">
        <v>21</v>
      </c>
    </row>
    <row r="831" customFormat="false" ht="15" hidden="false" customHeight="false" outlineLevel="0" collapsed="false">
      <c r="A831" s="25" t="n">
        <v>46241</v>
      </c>
      <c r="B831" s="26" t="s">
        <v>18</v>
      </c>
      <c r="C831" s="26" t="s">
        <v>72</v>
      </c>
      <c r="D831" s="26" t="s">
        <v>27</v>
      </c>
      <c r="E831" s="26" t="n">
        <v>53</v>
      </c>
    </row>
    <row r="832" customFormat="false" ht="15" hidden="false" customHeight="false" outlineLevel="0" collapsed="false">
      <c r="A832" s="25" t="n">
        <v>46241</v>
      </c>
      <c r="B832" s="26" t="s">
        <v>18</v>
      </c>
      <c r="C832" s="26" t="s">
        <v>73</v>
      </c>
      <c r="D832" s="26" t="s">
        <v>28</v>
      </c>
      <c r="E832" s="26" t="n">
        <v>65</v>
      </c>
    </row>
    <row r="833" customFormat="false" ht="15" hidden="false" customHeight="false" outlineLevel="0" collapsed="false">
      <c r="A833" s="25" t="n">
        <v>46241</v>
      </c>
      <c r="B833" s="26" t="s">
        <v>18</v>
      </c>
      <c r="C833" s="26" t="s">
        <v>73</v>
      </c>
      <c r="D833" s="26" t="s">
        <v>30</v>
      </c>
      <c r="E833" s="26" t="n">
        <v>19</v>
      </c>
    </row>
    <row r="834" customFormat="false" ht="15" hidden="false" customHeight="false" outlineLevel="0" collapsed="false">
      <c r="A834" s="25" t="n">
        <v>46241</v>
      </c>
      <c r="B834" s="26" t="s">
        <v>18</v>
      </c>
      <c r="C834" s="26" t="s">
        <v>74</v>
      </c>
      <c r="D834" s="26" t="s">
        <v>30</v>
      </c>
      <c r="E834" s="26" t="n">
        <v>13</v>
      </c>
    </row>
    <row r="835" customFormat="false" ht="15" hidden="false" customHeight="false" outlineLevel="0" collapsed="false">
      <c r="A835" s="25" t="n">
        <v>46241</v>
      </c>
      <c r="B835" s="26" t="s">
        <v>18</v>
      </c>
      <c r="C835" s="26" t="s">
        <v>74</v>
      </c>
      <c r="D835" s="26" t="s">
        <v>28</v>
      </c>
      <c r="E835" s="26" t="n">
        <v>45</v>
      </c>
    </row>
    <row r="836" customFormat="false" ht="15" hidden="false" customHeight="false" outlineLevel="0" collapsed="false">
      <c r="A836" s="25" t="n">
        <v>46241</v>
      </c>
      <c r="B836" s="26" t="s">
        <v>18</v>
      </c>
      <c r="C836" s="26" t="s">
        <v>74</v>
      </c>
      <c r="D836" s="26" t="s">
        <v>29</v>
      </c>
      <c r="E836" s="26" t="n">
        <v>15</v>
      </c>
    </row>
    <row r="837" customFormat="false" ht="15" hidden="false" customHeight="false" outlineLevel="0" collapsed="false">
      <c r="A837" s="25" t="n">
        <v>46242</v>
      </c>
      <c r="B837" s="26" t="s">
        <v>16</v>
      </c>
      <c r="C837" s="26" t="s">
        <v>72</v>
      </c>
      <c r="D837" s="26" t="s">
        <v>29</v>
      </c>
      <c r="E837" s="26" t="n">
        <v>11</v>
      </c>
    </row>
    <row r="838" customFormat="false" ht="15" hidden="false" customHeight="false" outlineLevel="0" collapsed="false">
      <c r="A838" s="25" t="n">
        <v>46242</v>
      </c>
      <c r="B838" s="26" t="s">
        <v>16</v>
      </c>
      <c r="C838" s="26" t="s">
        <v>72</v>
      </c>
      <c r="D838" s="26" t="s">
        <v>32</v>
      </c>
      <c r="E838" s="26" t="n">
        <v>10</v>
      </c>
    </row>
    <row r="839" customFormat="false" ht="15" hidden="false" customHeight="false" outlineLevel="0" collapsed="false">
      <c r="A839" s="25" t="n">
        <v>46242</v>
      </c>
      <c r="B839" s="26" t="s">
        <v>16</v>
      </c>
      <c r="C839" s="26" t="s">
        <v>72</v>
      </c>
      <c r="D839" s="26" t="s">
        <v>26</v>
      </c>
      <c r="E839" s="26" t="n">
        <v>39</v>
      </c>
    </row>
    <row r="840" customFormat="false" ht="15" hidden="false" customHeight="false" outlineLevel="0" collapsed="false">
      <c r="A840" s="25" t="n">
        <v>46242</v>
      </c>
      <c r="B840" s="26" t="s">
        <v>16</v>
      </c>
      <c r="C840" s="26" t="s">
        <v>73</v>
      </c>
      <c r="D840" s="26" t="s">
        <v>26</v>
      </c>
      <c r="E840" s="26" t="n">
        <v>41</v>
      </c>
    </row>
    <row r="841" customFormat="false" ht="15" hidden="false" customHeight="false" outlineLevel="0" collapsed="false">
      <c r="A841" s="25" t="n">
        <v>46242</v>
      </c>
      <c r="B841" s="26" t="s">
        <v>16</v>
      </c>
      <c r="C841" s="26" t="s">
        <v>73</v>
      </c>
      <c r="D841" s="26" t="s">
        <v>27</v>
      </c>
      <c r="E841" s="26" t="n">
        <v>38</v>
      </c>
    </row>
    <row r="842" customFormat="false" ht="15" hidden="false" customHeight="false" outlineLevel="0" collapsed="false">
      <c r="A842" s="25" t="n">
        <v>46242</v>
      </c>
      <c r="B842" s="26" t="s">
        <v>16</v>
      </c>
      <c r="C842" s="26" t="s">
        <v>74</v>
      </c>
      <c r="D842" s="26" t="s">
        <v>29</v>
      </c>
      <c r="E842" s="26" t="n">
        <v>19</v>
      </c>
    </row>
    <row r="843" customFormat="false" ht="15" hidden="false" customHeight="false" outlineLevel="0" collapsed="false">
      <c r="A843" s="25" t="n">
        <v>46242</v>
      </c>
      <c r="B843" s="26" t="s">
        <v>16</v>
      </c>
      <c r="C843" s="26" t="s">
        <v>74</v>
      </c>
      <c r="D843" s="26" t="s">
        <v>28</v>
      </c>
      <c r="E843" s="26" t="n">
        <v>33</v>
      </c>
    </row>
    <row r="844" customFormat="false" ht="15" hidden="false" customHeight="false" outlineLevel="0" collapsed="false">
      <c r="A844" s="25" t="n">
        <v>46242</v>
      </c>
      <c r="B844" s="26" t="s">
        <v>17</v>
      </c>
      <c r="C844" s="26" t="s">
        <v>72</v>
      </c>
      <c r="D844" s="26" t="s">
        <v>27</v>
      </c>
      <c r="E844" s="26" t="n">
        <v>25</v>
      </c>
    </row>
    <row r="845" customFormat="false" ht="15" hidden="false" customHeight="false" outlineLevel="0" collapsed="false">
      <c r="A845" s="25" t="n">
        <v>46242</v>
      </c>
      <c r="B845" s="26" t="s">
        <v>17</v>
      </c>
      <c r="C845" s="26" t="s">
        <v>72</v>
      </c>
      <c r="D845" s="26" t="s">
        <v>27</v>
      </c>
      <c r="E845" s="26" t="n">
        <v>23</v>
      </c>
    </row>
    <row r="846" customFormat="false" ht="15" hidden="false" customHeight="false" outlineLevel="0" collapsed="false">
      <c r="A846" s="25" t="n">
        <v>46242</v>
      </c>
      <c r="B846" s="26" t="s">
        <v>17</v>
      </c>
      <c r="C846" s="26" t="s">
        <v>72</v>
      </c>
      <c r="D846" s="26" t="s">
        <v>27</v>
      </c>
      <c r="E846" s="26" t="n">
        <v>27</v>
      </c>
    </row>
    <row r="847" customFormat="false" ht="15" hidden="false" customHeight="false" outlineLevel="0" collapsed="false">
      <c r="A847" s="25" t="n">
        <v>46242</v>
      </c>
      <c r="B847" s="26" t="s">
        <v>17</v>
      </c>
      <c r="C847" s="26" t="s">
        <v>73</v>
      </c>
      <c r="D847" s="26" t="s">
        <v>31</v>
      </c>
      <c r="E847" s="26" t="n">
        <v>29</v>
      </c>
    </row>
    <row r="848" customFormat="false" ht="15" hidden="false" customHeight="false" outlineLevel="0" collapsed="false">
      <c r="A848" s="25" t="n">
        <v>46242</v>
      </c>
      <c r="B848" s="26" t="s">
        <v>17</v>
      </c>
      <c r="C848" s="26" t="s">
        <v>73</v>
      </c>
      <c r="D848" s="26" t="s">
        <v>29</v>
      </c>
      <c r="E848" s="26" t="n">
        <v>15</v>
      </c>
    </row>
    <row r="849" customFormat="false" ht="15" hidden="false" customHeight="false" outlineLevel="0" collapsed="false">
      <c r="A849" s="25" t="n">
        <v>46242</v>
      </c>
      <c r="B849" s="26" t="s">
        <v>17</v>
      </c>
      <c r="C849" s="26" t="s">
        <v>73</v>
      </c>
      <c r="D849" s="26" t="s">
        <v>26</v>
      </c>
      <c r="E849" s="26" t="n">
        <v>17</v>
      </c>
    </row>
    <row r="850" customFormat="false" ht="15" hidden="false" customHeight="false" outlineLevel="0" collapsed="false">
      <c r="A850" s="25" t="n">
        <v>46242</v>
      </c>
      <c r="B850" s="26" t="s">
        <v>17</v>
      </c>
      <c r="C850" s="26" t="s">
        <v>73</v>
      </c>
      <c r="D850" s="26" t="s">
        <v>28</v>
      </c>
      <c r="E850" s="26" t="n">
        <v>24</v>
      </c>
    </row>
    <row r="851" customFormat="false" ht="15" hidden="false" customHeight="false" outlineLevel="0" collapsed="false">
      <c r="A851" s="25" t="n">
        <v>46242</v>
      </c>
      <c r="B851" s="26" t="s">
        <v>17</v>
      </c>
      <c r="C851" s="26" t="s">
        <v>73</v>
      </c>
      <c r="D851" s="26" t="s">
        <v>30</v>
      </c>
      <c r="E851" s="26" t="n">
        <v>17</v>
      </c>
    </row>
    <row r="852" customFormat="false" ht="15" hidden="false" customHeight="false" outlineLevel="0" collapsed="false">
      <c r="A852" s="25" t="n">
        <v>46242</v>
      </c>
      <c r="B852" s="26" t="s">
        <v>17</v>
      </c>
      <c r="C852" s="26" t="s">
        <v>74</v>
      </c>
      <c r="D852" s="26" t="s">
        <v>32</v>
      </c>
      <c r="E852" s="26" t="n">
        <v>19</v>
      </c>
    </row>
    <row r="853" customFormat="false" ht="15" hidden="false" customHeight="false" outlineLevel="0" collapsed="false">
      <c r="A853" s="25" t="n">
        <v>46242</v>
      </c>
      <c r="B853" s="26" t="s">
        <v>18</v>
      </c>
      <c r="C853" s="26" t="s">
        <v>72</v>
      </c>
      <c r="D853" s="26" t="s">
        <v>30</v>
      </c>
      <c r="E853" s="26" t="n">
        <v>32</v>
      </c>
    </row>
    <row r="854" customFormat="false" ht="15" hidden="false" customHeight="false" outlineLevel="0" collapsed="false">
      <c r="A854" s="25" t="n">
        <v>46242</v>
      </c>
      <c r="B854" s="26" t="s">
        <v>18</v>
      </c>
      <c r="C854" s="26" t="s">
        <v>72</v>
      </c>
      <c r="D854" s="26" t="s">
        <v>28</v>
      </c>
      <c r="E854" s="26" t="n">
        <v>120</v>
      </c>
    </row>
    <row r="855" customFormat="false" ht="15" hidden="false" customHeight="false" outlineLevel="0" collapsed="false">
      <c r="A855" s="25" t="n">
        <v>46242</v>
      </c>
      <c r="B855" s="26" t="s">
        <v>18</v>
      </c>
      <c r="C855" s="26" t="s">
        <v>73</v>
      </c>
      <c r="D855" s="26" t="s">
        <v>29</v>
      </c>
      <c r="E855" s="26" t="n">
        <v>21</v>
      </c>
    </row>
    <row r="856" customFormat="false" ht="15" hidden="false" customHeight="false" outlineLevel="0" collapsed="false">
      <c r="A856" s="25" t="n">
        <v>46242</v>
      </c>
      <c r="B856" s="26" t="s">
        <v>18</v>
      </c>
      <c r="C856" s="26" t="s">
        <v>73</v>
      </c>
      <c r="D856" s="26" t="s">
        <v>26</v>
      </c>
      <c r="E856" s="26" t="n">
        <v>52</v>
      </c>
    </row>
    <row r="857" customFormat="false" ht="15" hidden="false" customHeight="false" outlineLevel="0" collapsed="false">
      <c r="A857" s="25" t="n">
        <v>46242</v>
      </c>
      <c r="B857" s="26" t="s">
        <v>18</v>
      </c>
      <c r="C857" s="26" t="s">
        <v>73</v>
      </c>
      <c r="D857" s="26" t="s">
        <v>26</v>
      </c>
      <c r="E857" s="26" t="n">
        <v>44</v>
      </c>
    </row>
    <row r="858" customFormat="false" ht="15" hidden="false" customHeight="false" outlineLevel="0" collapsed="false">
      <c r="A858" s="25" t="n">
        <v>46242</v>
      </c>
      <c r="B858" s="26" t="s">
        <v>18</v>
      </c>
      <c r="C858" s="26" t="s">
        <v>74</v>
      </c>
      <c r="D858" s="26" t="s">
        <v>28</v>
      </c>
      <c r="E858" s="26" t="n">
        <v>57</v>
      </c>
    </row>
    <row r="859" customFormat="false" ht="15" hidden="false" customHeight="false" outlineLevel="0" collapsed="false">
      <c r="A859" s="25" t="n">
        <v>46242</v>
      </c>
      <c r="B859" s="26" t="s">
        <v>18</v>
      </c>
      <c r="C859" s="26" t="s">
        <v>74</v>
      </c>
      <c r="D859" s="26" t="s">
        <v>26</v>
      </c>
      <c r="E859" s="26" t="n">
        <v>9</v>
      </c>
    </row>
    <row r="860" customFormat="false" ht="15" hidden="false" customHeight="false" outlineLevel="0" collapsed="false">
      <c r="A860" s="25" t="n">
        <v>46243</v>
      </c>
      <c r="B860" s="26" t="s">
        <v>16</v>
      </c>
      <c r="C860" s="26" t="s">
        <v>73</v>
      </c>
      <c r="D860" s="26" t="s">
        <v>27</v>
      </c>
      <c r="E860" s="26" t="n">
        <v>15</v>
      </c>
    </row>
    <row r="861" customFormat="false" ht="15" hidden="false" customHeight="false" outlineLevel="0" collapsed="false">
      <c r="A861" s="25" t="n">
        <v>46243</v>
      </c>
      <c r="B861" s="26" t="s">
        <v>16</v>
      </c>
      <c r="C861" s="26" t="s">
        <v>73</v>
      </c>
      <c r="D861" s="26" t="s">
        <v>28</v>
      </c>
      <c r="E861" s="26" t="n">
        <v>41</v>
      </c>
    </row>
    <row r="862" customFormat="false" ht="15" hidden="false" customHeight="false" outlineLevel="0" collapsed="false">
      <c r="A862" s="25" t="n">
        <v>46243</v>
      </c>
      <c r="B862" s="26" t="s">
        <v>16</v>
      </c>
      <c r="C862" s="26" t="s">
        <v>73</v>
      </c>
      <c r="D862" s="26" t="s">
        <v>26</v>
      </c>
      <c r="E862" s="26" t="n">
        <v>57</v>
      </c>
    </row>
    <row r="863" customFormat="false" ht="15" hidden="false" customHeight="false" outlineLevel="0" collapsed="false">
      <c r="A863" s="25" t="n">
        <v>46243</v>
      </c>
      <c r="B863" s="26" t="s">
        <v>16</v>
      </c>
      <c r="C863" s="26" t="s">
        <v>73</v>
      </c>
      <c r="D863" s="26" t="s">
        <v>28</v>
      </c>
      <c r="E863" s="26" t="n">
        <v>15</v>
      </c>
    </row>
    <row r="864" customFormat="false" ht="15" hidden="false" customHeight="false" outlineLevel="0" collapsed="false">
      <c r="A864" s="25" t="n">
        <v>46243</v>
      </c>
      <c r="B864" s="26" t="s">
        <v>16</v>
      </c>
      <c r="C864" s="26" t="s">
        <v>74</v>
      </c>
      <c r="D864" s="26" t="s">
        <v>26</v>
      </c>
      <c r="E864" s="26" t="n">
        <v>100</v>
      </c>
    </row>
    <row r="865" customFormat="false" ht="15" hidden="false" customHeight="false" outlineLevel="0" collapsed="false">
      <c r="A865" s="25" t="n">
        <v>46243</v>
      </c>
      <c r="B865" s="26" t="s">
        <v>16</v>
      </c>
      <c r="C865" s="26" t="s">
        <v>74</v>
      </c>
      <c r="D865" s="26" t="s">
        <v>28</v>
      </c>
      <c r="E865" s="26" t="n">
        <v>65</v>
      </c>
    </row>
    <row r="866" customFormat="false" ht="15" hidden="false" customHeight="false" outlineLevel="0" collapsed="false">
      <c r="A866" s="25" t="n">
        <v>46243</v>
      </c>
      <c r="B866" s="26" t="s">
        <v>16</v>
      </c>
      <c r="C866" s="26" t="s">
        <v>74</v>
      </c>
      <c r="D866" s="26" t="s">
        <v>30</v>
      </c>
      <c r="E866" s="26" t="n">
        <v>24</v>
      </c>
    </row>
    <row r="867" customFormat="false" ht="15" hidden="false" customHeight="false" outlineLevel="0" collapsed="false">
      <c r="A867" s="25" t="n">
        <v>46243</v>
      </c>
      <c r="B867" s="26" t="s">
        <v>17</v>
      </c>
      <c r="C867" s="26" t="s">
        <v>73</v>
      </c>
      <c r="D867" s="26" t="s">
        <v>28</v>
      </c>
      <c r="E867" s="26" t="n">
        <v>17</v>
      </c>
    </row>
    <row r="868" customFormat="false" ht="15" hidden="false" customHeight="false" outlineLevel="0" collapsed="false">
      <c r="A868" s="25" t="n">
        <v>46243</v>
      </c>
      <c r="B868" s="26" t="s">
        <v>17</v>
      </c>
      <c r="C868" s="26" t="s">
        <v>73</v>
      </c>
      <c r="D868" s="26" t="s">
        <v>26</v>
      </c>
      <c r="E868" s="26" t="n">
        <v>14</v>
      </c>
    </row>
    <row r="869" customFormat="false" ht="15" hidden="false" customHeight="false" outlineLevel="0" collapsed="false">
      <c r="A869" s="25" t="n">
        <v>46243</v>
      </c>
      <c r="B869" s="26" t="s">
        <v>17</v>
      </c>
      <c r="C869" s="26" t="s">
        <v>73</v>
      </c>
      <c r="D869" s="26" t="s">
        <v>28</v>
      </c>
      <c r="E869" s="26" t="n">
        <v>61</v>
      </c>
    </row>
    <row r="870" customFormat="false" ht="15" hidden="false" customHeight="false" outlineLevel="0" collapsed="false">
      <c r="A870" s="25" t="n">
        <v>46243</v>
      </c>
      <c r="B870" s="26" t="s">
        <v>17</v>
      </c>
      <c r="C870" s="26" t="s">
        <v>74</v>
      </c>
      <c r="D870" s="26" t="s">
        <v>31</v>
      </c>
      <c r="E870" s="26" t="n">
        <v>63</v>
      </c>
    </row>
    <row r="871" customFormat="false" ht="15" hidden="false" customHeight="false" outlineLevel="0" collapsed="false">
      <c r="A871" s="25" t="n">
        <v>46243</v>
      </c>
      <c r="B871" s="26" t="s">
        <v>17</v>
      </c>
      <c r="C871" s="26" t="s">
        <v>74</v>
      </c>
      <c r="D871" s="26" t="s">
        <v>28</v>
      </c>
      <c r="E871" s="26" t="n">
        <v>85</v>
      </c>
    </row>
    <row r="872" customFormat="false" ht="15" hidden="false" customHeight="false" outlineLevel="0" collapsed="false">
      <c r="A872" s="25" t="n">
        <v>46243</v>
      </c>
      <c r="B872" s="26" t="s">
        <v>17</v>
      </c>
      <c r="C872" s="26" t="s">
        <v>74</v>
      </c>
      <c r="D872" s="26" t="s">
        <v>30</v>
      </c>
      <c r="E872" s="26" t="n">
        <v>43</v>
      </c>
    </row>
    <row r="873" customFormat="false" ht="15" hidden="false" customHeight="false" outlineLevel="0" collapsed="false">
      <c r="A873" s="25" t="n">
        <v>46243</v>
      </c>
      <c r="B873" s="26" t="s">
        <v>17</v>
      </c>
      <c r="C873" s="26" t="s">
        <v>74</v>
      </c>
      <c r="D873" s="26" t="s">
        <v>32</v>
      </c>
      <c r="E873" s="26" t="n">
        <v>17</v>
      </c>
    </row>
    <row r="874" customFormat="false" ht="15" hidden="false" customHeight="false" outlineLevel="0" collapsed="false">
      <c r="A874" s="25" t="n">
        <v>46243</v>
      </c>
      <c r="B874" s="26" t="s">
        <v>18</v>
      </c>
      <c r="C874" s="26" t="s">
        <v>72</v>
      </c>
      <c r="D874" s="26" t="s">
        <v>26</v>
      </c>
      <c r="E874" s="26" t="n">
        <v>45</v>
      </c>
    </row>
    <row r="875" customFormat="false" ht="15" hidden="false" customHeight="false" outlineLevel="0" collapsed="false">
      <c r="A875" s="25" t="n">
        <v>46243</v>
      </c>
      <c r="B875" s="26" t="s">
        <v>18</v>
      </c>
      <c r="C875" s="26" t="s">
        <v>72</v>
      </c>
      <c r="D875" s="26" t="s">
        <v>27</v>
      </c>
      <c r="E875" s="26" t="n">
        <v>48</v>
      </c>
    </row>
    <row r="876" customFormat="false" ht="15" hidden="false" customHeight="false" outlineLevel="0" collapsed="false">
      <c r="A876" s="25" t="n">
        <v>46243</v>
      </c>
      <c r="B876" s="26" t="s">
        <v>18</v>
      </c>
      <c r="C876" s="26" t="s">
        <v>72</v>
      </c>
      <c r="D876" s="26" t="s">
        <v>26</v>
      </c>
      <c r="E876" s="26" t="n">
        <v>53</v>
      </c>
    </row>
    <row r="877" customFormat="false" ht="15" hidden="false" customHeight="false" outlineLevel="0" collapsed="false">
      <c r="A877" s="25" t="n">
        <v>46243</v>
      </c>
      <c r="B877" s="26" t="s">
        <v>18</v>
      </c>
      <c r="C877" s="26" t="s">
        <v>72</v>
      </c>
      <c r="D877" s="26" t="s">
        <v>26</v>
      </c>
      <c r="E877" s="26" t="n">
        <v>28</v>
      </c>
    </row>
    <row r="878" customFormat="false" ht="15" hidden="false" customHeight="false" outlineLevel="0" collapsed="false">
      <c r="A878" s="25" t="n">
        <v>46243</v>
      </c>
      <c r="B878" s="26" t="s">
        <v>18</v>
      </c>
      <c r="C878" s="26" t="s">
        <v>72</v>
      </c>
      <c r="D878" s="26" t="s">
        <v>26</v>
      </c>
      <c r="E878" s="26" t="n">
        <v>23</v>
      </c>
    </row>
    <row r="879" customFormat="false" ht="15" hidden="false" customHeight="false" outlineLevel="0" collapsed="false">
      <c r="A879" s="25" t="n">
        <v>46243</v>
      </c>
      <c r="B879" s="26" t="s">
        <v>18</v>
      </c>
      <c r="C879" s="26" t="s">
        <v>73</v>
      </c>
      <c r="D879" s="26" t="s">
        <v>26</v>
      </c>
      <c r="E879" s="26" t="n">
        <v>20</v>
      </c>
    </row>
    <row r="880" customFormat="false" ht="15" hidden="false" customHeight="false" outlineLevel="0" collapsed="false">
      <c r="A880" s="25" t="n">
        <v>46243</v>
      </c>
      <c r="B880" s="26" t="s">
        <v>18</v>
      </c>
      <c r="C880" s="26" t="s">
        <v>74</v>
      </c>
      <c r="D880" s="26" t="s">
        <v>27</v>
      </c>
      <c r="E880" s="26" t="n">
        <v>99</v>
      </c>
    </row>
    <row r="881" customFormat="false" ht="15" hidden="false" customHeight="false" outlineLevel="0" collapsed="false">
      <c r="A881" s="25" t="n">
        <v>46243</v>
      </c>
      <c r="B881" s="26" t="s">
        <v>18</v>
      </c>
      <c r="C881" s="26" t="s">
        <v>74</v>
      </c>
      <c r="D881" s="26" t="s">
        <v>27</v>
      </c>
      <c r="E881" s="26" t="n">
        <v>39</v>
      </c>
    </row>
    <row r="882" customFormat="false" ht="15" hidden="false" customHeight="false" outlineLevel="0" collapsed="false">
      <c r="A882" s="25" t="n">
        <v>46244</v>
      </c>
      <c r="B882" s="26" t="s">
        <v>16</v>
      </c>
      <c r="C882" s="26" t="s">
        <v>72</v>
      </c>
      <c r="D882" s="26" t="s">
        <v>27</v>
      </c>
      <c r="E882" s="26" t="n">
        <v>20</v>
      </c>
    </row>
    <row r="883" customFormat="false" ht="15" hidden="false" customHeight="false" outlineLevel="0" collapsed="false">
      <c r="A883" s="25" t="n">
        <v>46244</v>
      </c>
      <c r="B883" s="26" t="s">
        <v>16</v>
      </c>
      <c r="C883" s="26" t="s">
        <v>72</v>
      </c>
      <c r="D883" s="26" t="s">
        <v>31</v>
      </c>
      <c r="E883" s="26" t="n">
        <v>20</v>
      </c>
    </row>
    <row r="884" customFormat="false" ht="15" hidden="false" customHeight="false" outlineLevel="0" collapsed="false">
      <c r="A884" s="25" t="n">
        <v>46244</v>
      </c>
      <c r="B884" s="26" t="s">
        <v>16</v>
      </c>
      <c r="C884" s="26" t="s">
        <v>72</v>
      </c>
      <c r="D884" s="26" t="s">
        <v>29</v>
      </c>
      <c r="E884" s="26" t="n">
        <v>11</v>
      </c>
    </row>
    <row r="885" customFormat="false" ht="15" hidden="false" customHeight="false" outlineLevel="0" collapsed="false">
      <c r="A885" s="25" t="n">
        <v>46244</v>
      </c>
      <c r="B885" s="26" t="s">
        <v>16</v>
      </c>
      <c r="C885" s="26" t="s">
        <v>73</v>
      </c>
      <c r="D885" s="26" t="s">
        <v>27</v>
      </c>
      <c r="E885" s="26" t="n">
        <v>42</v>
      </c>
    </row>
    <row r="886" customFormat="false" ht="15" hidden="false" customHeight="false" outlineLevel="0" collapsed="false">
      <c r="A886" s="25" t="n">
        <v>46244</v>
      </c>
      <c r="B886" s="26" t="s">
        <v>17</v>
      </c>
      <c r="C886" s="26" t="s">
        <v>73</v>
      </c>
      <c r="D886" s="26" t="s">
        <v>26</v>
      </c>
      <c r="E886" s="26" t="n">
        <v>25</v>
      </c>
    </row>
    <row r="887" customFormat="false" ht="15" hidden="false" customHeight="false" outlineLevel="0" collapsed="false">
      <c r="A887" s="25" t="n">
        <v>46244</v>
      </c>
      <c r="B887" s="26" t="s">
        <v>17</v>
      </c>
      <c r="C887" s="26" t="s">
        <v>73</v>
      </c>
      <c r="D887" s="26" t="s">
        <v>26</v>
      </c>
      <c r="E887" s="26" t="n">
        <v>57</v>
      </c>
    </row>
    <row r="888" customFormat="false" ht="15" hidden="false" customHeight="false" outlineLevel="0" collapsed="false">
      <c r="A888" s="25" t="n">
        <v>46244</v>
      </c>
      <c r="B888" s="26" t="s">
        <v>17</v>
      </c>
      <c r="C888" s="26" t="s">
        <v>74</v>
      </c>
      <c r="D888" s="26" t="s">
        <v>27</v>
      </c>
      <c r="E888" s="26" t="n">
        <v>17</v>
      </c>
    </row>
    <row r="889" customFormat="false" ht="15" hidden="false" customHeight="false" outlineLevel="0" collapsed="false">
      <c r="A889" s="25" t="n">
        <v>46244</v>
      </c>
      <c r="B889" s="26" t="s">
        <v>18</v>
      </c>
      <c r="C889" s="26" t="s">
        <v>72</v>
      </c>
      <c r="D889" s="26" t="s">
        <v>27</v>
      </c>
      <c r="E889" s="26" t="n">
        <v>31</v>
      </c>
    </row>
    <row r="890" customFormat="false" ht="15" hidden="false" customHeight="false" outlineLevel="0" collapsed="false">
      <c r="A890" s="25" t="n">
        <v>46244</v>
      </c>
      <c r="B890" s="26" t="s">
        <v>18</v>
      </c>
      <c r="C890" s="26" t="s">
        <v>72</v>
      </c>
      <c r="D890" s="26" t="s">
        <v>28</v>
      </c>
      <c r="E890" s="26" t="n">
        <v>83</v>
      </c>
    </row>
    <row r="891" customFormat="false" ht="15" hidden="false" customHeight="false" outlineLevel="0" collapsed="false">
      <c r="A891" s="25" t="n">
        <v>46244</v>
      </c>
      <c r="B891" s="26" t="s">
        <v>18</v>
      </c>
      <c r="C891" s="26" t="s">
        <v>72</v>
      </c>
      <c r="D891" s="26" t="s">
        <v>28</v>
      </c>
      <c r="E891" s="26" t="n">
        <v>36</v>
      </c>
    </row>
    <row r="892" customFormat="false" ht="15" hidden="false" customHeight="false" outlineLevel="0" collapsed="false">
      <c r="A892" s="25" t="n">
        <v>46244</v>
      </c>
      <c r="B892" s="26" t="s">
        <v>18</v>
      </c>
      <c r="C892" s="26" t="s">
        <v>73</v>
      </c>
      <c r="D892" s="26" t="s">
        <v>27</v>
      </c>
      <c r="E892" s="26" t="n">
        <v>26</v>
      </c>
    </row>
    <row r="893" customFormat="false" ht="15" hidden="false" customHeight="false" outlineLevel="0" collapsed="false">
      <c r="A893" s="25" t="n">
        <v>46244</v>
      </c>
      <c r="B893" s="26" t="s">
        <v>18</v>
      </c>
      <c r="C893" s="26" t="s">
        <v>73</v>
      </c>
      <c r="D893" s="26" t="s">
        <v>26</v>
      </c>
      <c r="E893" s="26" t="n">
        <v>36</v>
      </c>
    </row>
    <row r="894" customFormat="false" ht="15" hidden="false" customHeight="false" outlineLevel="0" collapsed="false">
      <c r="A894" s="25" t="n">
        <v>46244</v>
      </c>
      <c r="B894" s="26" t="s">
        <v>18</v>
      </c>
      <c r="C894" s="26" t="s">
        <v>73</v>
      </c>
      <c r="D894" s="26" t="s">
        <v>29</v>
      </c>
      <c r="E894" s="26" t="n">
        <v>23</v>
      </c>
    </row>
    <row r="895" customFormat="false" ht="15" hidden="false" customHeight="false" outlineLevel="0" collapsed="false">
      <c r="A895" s="25" t="n">
        <v>46244</v>
      </c>
      <c r="B895" s="26" t="s">
        <v>18</v>
      </c>
      <c r="C895" s="26" t="s">
        <v>74</v>
      </c>
      <c r="D895" s="26" t="s">
        <v>28</v>
      </c>
      <c r="E895" s="26" t="n">
        <v>58</v>
      </c>
    </row>
    <row r="896" customFormat="false" ht="15" hidden="false" customHeight="false" outlineLevel="0" collapsed="false">
      <c r="A896" s="25" t="n">
        <v>46244</v>
      </c>
      <c r="B896" s="26" t="s">
        <v>18</v>
      </c>
      <c r="C896" s="26" t="s">
        <v>74</v>
      </c>
      <c r="D896" s="26" t="s">
        <v>28</v>
      </c>
      <c r="E896" s="26" t="n">
        <v>17</v>
      </c>
    </row>
    <row r="897" customFormat="false" ht="15" hidden="false" customHeight="false" outlineLevel="0" collapsed="false">
      <c r="A897" s="25" t="n">
        <v>46244</v>
      </c>
      <c r="B897" s="26" t="s">
        <v>18</v>
      </c>
      <c r="C897" s="26" t="s">
        <v>74</v>
      </c>
      <c r="D897" s="26" t="s">
        <v>28</v>
      </c>
      <c r="E897" s="26" t="n">
        <v>17</v>
      </c>
    </row>
    <row r="898" customFormat="false" ht="15" hidden="false" customHeight="false" outlineLevel="0" collapsed="false">
      <c r="A898" s="25" t="n">
        <v>46244</v>
      </c>
      <c r="B898" s="26" t="s">
        <v>18</v>
      </c>
      <c r="C898" s="26" t="s">
        <v>74</v>
      </c>
      <c r="D898" s="26" t="s">
        <v>31</v>
      </c>
      <c r="E898" s="26" t="n">
        <v>58</v>
      </c>
    </row>
    <row r="899" customFormat="false" ht="15" hidden="false" customHeight="false" outlineLevel="0" collapsed="false">
      <c r="A899" s="25" t="n">
        <v>46244</v>
      </c>
      <c r="B899" s="26" t="s">
        <v>18</v>
      </c>
      <c r="C899" s="26" t="s">
        <v>74</v>
      </c>
      <c r="D899" s="26" t="s">
        <v>26</v>
      </c>
      <c r="E899" s="26" t="n">
        <v>24</v>
      </c>
    </row>
    <row r="900" customFormat="false" ht="15" hidden="false" customHeight="false" outlineLevel="0" collapsed="false">
      <c r="A900" s="25" t="n">
        <v>46245</v>
      </c>
      <c r="B900" s="26" t="s">
        <v>16</v>
      </c>
      <c r="C900" s="26" t="s">
        <v>73</v>
      </c>
      <c r="D900" s="26" t="s">
        <v>29</v>
      </c>
      <c r="E900" s="26" t="n">
        <v>18</v>
      </c>
    </row>
    <row r="901" customFormat="false" ht="15" hidden="false" customHeight="false" outlineLevel="0" collapsed="false">
      <c r="A901" s="25" t="n">
        <v>46245</v>
      </c>
      <c r="B901" s="26" t="s">
        <v>16</v>
      </c>
      <c r="C901" s="26" t="s">
        <v>74</v>
      </c>
      <c r="D901" s="26" t="s">
        <v>27</v>
      </c>
      <c r="E901" s="26" t="n">
        <v>26</v>
      </c>
    </row>
    <row r="902" customFormat="false" ht="15" hidden="false" customHeight="false" outlineLevel="0" collapsed="false">
      <c r="A902" s="25" t="n">
        <v>46245</v>
      </c>
      <c r="B902" s="26" t="s">
        <v>16</v>
      </c>
      <c r="C902" s="26" t="s">
        <v>74</v>
      </c>
      <c r="D902" s="26" t="s">
        <v>27</v>
      </c>
      <c r="E902" s="26" t="n">
        <v>23</v>
      </c>
    </row>
    <row r="903" customFormat="false" ht="15" hidden="false" customHeight="false" outlineLevel="0" collapsed="false">
      <c r="A903" s="25" t="n">
        <v>46245</v>
      </c>
      <c r="B903" s="26" t="s">
        <v>17</v>
      </c>
      <c r="C903" s="26" t="s">
        <v>72</v>
      </c>
      <c r="D903" s="26" t="s">
        <v>30</v>
      </c>
      <c r="E903" s="26" t="n">
        <v>17</v>
      </c>
    </row>
    <row r="904" customFormat="false" ht="15" hidden="false" customHeight="false" outlineLevel="0" collapsed="false">
      <c r="A904" s="25" t="n">
        <v>46245</v>
      </c>
      <c r="B904" s="26" t="s">
        <v>17</v>
      </c>
      <c r="C904" s="26" t="s">
        <v>72</v>
      </c>
      <c r="D904" s="26" t="s">
        <v>26</v>
      </c>
      <c r="E904" s="26" t="n">
        <v>32</v>
      </c>
    </row>
    <row r="905" customFormat="false" ht="15" hidden="false" customHeight="false" outlineLevel="0" collapsed="false">
      <c r="A905" s="25" t="n">
        <v>46245</v>
      </c>
      <c r="B905" s="26" t="s">
        <v>17</v>
      </c>
      <c r="C905" s="26" t="s">
        <v>72</v>
      </c>
      <c r="D905" s="26" t="s">
        <v>30</v>
      </c>
      <c r="E905" s="26" t="n">
        <v>48</v>
      </c>
    </row>
    <row r="906" customFormat="false" ht="15" hidden="false" customHeight="false" outlineLevel="0" collapsed="false">
      <c r="A906" s="25" t="n">
        <v>46245</v>
      </c>
      <c r="B906" s="26" t="s">
        <v>17</v>
      </c>
      <c r="C906" s="26" t="s">
        <v>73</v>
      </c>
      <c r="D906" s="26" t="s">
        <v>26</v>
      </c>
      <c r="E906" s="26" t="n">
        <v>33</v>
      </c>
    </row>
    <row r="907" customFormat="false" ht="15" hidden="false" customHeight="false" outlineLevel="0" collapsed="false">
      <c r="A907" s="25" t="n">
        <v>46245</v>
      </c>
      <c r="B907" s="26" t="s">
        <v>17</v>
      </c>
      <c r="C907" s="26" t="s">
        <v>73</v>
      </c>
      <c r="D907" s="26" t="s">
        <v>31</v>
      </c>
      <c r="E907" s="26" t="n">
        <v>40</v>
      </c>
    </row>
    <row r="908" customFormat="false" ht="15" hidden="false" customHeight="false" outlineLevel="0" collapsed="false">
      <c r="A908" s="25" t="n">
        <v>46245</v>
      </c>
      <c r="B908" s="26" t="s">
        <v>17</v>
      </c>
      <c r="C908" s="26" t="s">
        <v>73</v>
      </c>
      <c r="D908" s="26" t="s">
        <v>26</v>
      </c>
      <c r="E908" s="26" t="n">
        <v>57</v>
      </c>
    </row>
    <row r="909" customFormat="false" ht="15" hidden="false" customHeight="false" outlineLevel="0" collapsed="false">
      <c r="A909" s="25" t="n">
        <v>46245</v>
      </c>
      <c r="B909" s="26" t="s">
        <v>17</v>
      </c>
      <c r="C909" s="26" t="s">
        <v>73</v>
      </c>
      <c r="D909" s="26" t="s">
        <v>26</v>
      </c>
      <c r="E909" s="26" t="n">
        <v>51</v>
      </c>
    </row>
    <row r="910" customFormat="false" ht="15" hidden="false" customHeight="false" outlineLevel="0" collapsed="false">
      <c r="A910" s="25" t="n">
        <v>46245</v>
      </c>
      <c r="B910" s="26" t="s">
        <v>17</v>
      </c>
      <c r="C910" s="26" t="s">
        <v>74</v>
      </c>
      <c r="D910" s="26" t="s">
        <v>26</v>
      </c>
      <c r="E910" s="26" t="n">
        <v>88</v>
      </c>
    </row>
    <row r="911" customFormat="false" ht="15" hidden="false" customHeight="false" outlineLevel="0" collapsed="false">
      <c r="A911" s="25" t="n">
        <v>46245</v>
      </c>
      <c r="B911" s="26" t="s">
        <v>17</v>
      </c>
      <c r="C911" s="26" t="s">
        <v>74</v>
      </c>
      <c r="D911" s="26" t="s">
        <v>30</v>
      </c>
      <c r="E911" s="26" t="n">
        <v>49</v>
      </c>
    </row>
    <row r="912" customFormat="false" ht="15" hidden="false" customHeight="false" outlineLevel="0" collapsed="false">
      <c r="A912" s="25" t="n">
        <v>46245</v>
      </c>
      <c r="B912" s="26" t="s">
        <v>17</v>
      </c>
      <c r="C912" s="26" t="s">
        <v>74</v>
      </c>
      <c r="D912" s="26" t="s">
        <v>26</v>
      </c>
      <c r="E912" s="26" t="n">
        <v>27</v>
      </c>
    </row>
    <row r="913" customFormat="false" ht="15" hidden="false" customHeight="false" outlineLevel="0" collapsed="false">
      <c r="A913" s="25" t="n">
        <v>46245</v>
      </c>
      <c r="B913" s="26" t="s">
        <v>17</v>
      </c>
      <c r="C913" s="26" t="s">
        <v>74</v>
      </c>
      <c r="D913" s="26" t="s">
        <v>26</v>
      </c>
      <c r="E913" s="26" t="n">
        <v>33</v>
      </c>
    </row>
    <row r="914" customFormat="false" ht="15" hidden="false" customHeight="false" outlineLevel="0" collapsed="false">
      <c r="A914" s="25" t="n">
        <v>46245</v>
      </c>
      <c r="B914" s="26" t="s">
        <v>17</v>
      </c>
      <c r="C914" s="26" t="s">
        <v>74</v>
      </c>
      <c r="D914" s="26" t="s">
        <v>29</v>
      </c>
      <c r="E914" s="26" t="n">
        <v>10</v>
      </c>
    </row>
    <row r="915" customFormat="false" ht="15" hidden="false" customHeight="false" outlineLevel="0" collapsed="false">
      <c r="A915" s="25" t="n">
        <v>46245</v>
      </c>
      <c r="B915" s="26" t="s">
        <v>18</v>
      </c>
      <c r="C915" s="26" t="s">
        <v>72</v>
      </c>
      <c r="D915" s="26" t="s">
        <v>27</v>
      </c>
      <c r="E915" s="26" t="n">
        <v>9</v>
      </c>
    </row>
    <row r="916" customFormat="false" ht="15" hidden="false" customHeight="false" outlineLevel="0" collapsed="false">
      <c r="A916" s="25" t="n">
        <v>46245</v>
      </c>
      <c r="B916" s="26" t="s">
        <v>18</v>
      </c>
      <c r="C916" s="26" t="s">
        <v>72</v>
      </c>
      <c r="D916" s="26" t="s">
        <v>26</v>
      </c>
      <c r="E916" s="26" t="n">
        <v>21</v>
      </c>
    </row>
    <row r="917" customFormat="false" ht="15" hidden="false" customHeight="false" outlineLevel="0" collapsed="false">
      <c r="A917" s="25" t="n">
        <v>46245</v>
      </c>
      <c r="B917" s="26" t="s">
        <v>18</v>
      </c>
      <c r="C917" s="26" t="s">
        <v>73</v>
      </c>
      <c r="D917" s="26" t="s">
        <v>29</v>
      </c>
      <c r="E917" s="26" t="n">
        <v>16</v>
      </c>
    </row>
    <row r="918" customFormat="false" ht="15" hidden="false" customHeight="false" outlineLevel="0" collapsed="false">
      <c r="A918" s="25" t="n">
        <v>46245</v>
      </c>
      <c r="B918" s="26" t="s">
        <v>18</v>
      </c>
      <c r="C918" s="26" t="s">
        <v>73</v>
      </c>
      <c r="D918" s="26" t="s">
        <v>28</v>
      </c>
      <c r="E918" s="26" t="n">
        <v>25</v>
      </c>
    </row>
    <row r="919" customFormat="false" ht="15" hidden="false" customHeight="false" outlineLevel="0" collapsed="false">
      <c r="A919" s="25" t="n">
        <v>46245</v>
      </c>
      <c r="B919" s="26" t="s">
        <v>18</v>
      </c>
      <c r="C919" s="26" t="s">
        <v>73</v>
      </c>
      <c r="D919" s="26" t="s">
        <v>27</v>
      </c>
      <c r="E919" s="26" t="n">
        <v>54</v>
      </c>
    </row>
    <row r="920" customFormat="false" ht="15" hidden="false" customHeight="false" outlineLevel="0" collapsed="false">
      <c r="A920" s="25" t="n">
        <v>46245</v>
      </c>
      <c r="B920" s="26" t="s">
        <v>18</v>
      </c>
      <c r="C920" s="26" t="s">
        <v>74</v>
      </c>
      <c r="D920" s="26" t="s">
        <v>27</v>
      </c>
      <c r="E920" s="26" t="n">
        <v>17</v>
      </c>
    </row>
    <row r="921" customFormat="false" ht="15" hidden="false" customHeight="false" outlineLevel="0" collapsed="false">
      <c r="A921" s="25" t="n">
        <v>46245</v>
      </c>
      <c r="B921" s="26" t="s">
        <v>18</v>
      </c>
      <c r="C921" s="26" t="s">
        <v>74</v>
      </c>
      <c r="D921" s="26" t="s">
        <v>28</v>
      </c>
      <c r="E921" s="26" t="n">
        <v>101</v>
      </c>
    </row>
    <row r="922" customFormat="false" ht="15" hidden="false" customHeight="false" outlineLevel="0" collapsed="false">
      <c r="A922" s="25" t="n">
        <v>46245</v>
      </c>
      <c r="B922" s="26" t="s">
        <v>18</v>
      </c>
      <c r="C922" s="26" t="s">
        <v>74</v>
      </c>
      <c r="D922" s="26" t="s">
        <v>26</v>
      </c>
      <c r="E922" s="26" t="n">
        <v>31</v>
      </c>
    </row>
    <row r="923" customFormat="false" ht="15" hidden="false" customHeight="false" outlineLevel="0" collapsed="false">
      <c r="A923" s="25" t="n">
        <v>46245</v>
      </c>
      <c r="B923" s="26" t="s">
        <v>18</v>
      </c>
      <c r="C923" s="26" t="s">
        <v>74</v>
      </c>
      <c r="D923" s="26" t="s">
        <v>29</v>
      </c>
      <c r="E923" s="26" t="n">
        <v>20</v>
      </c>
    </row>
    <row r="924" customFormat="false" ht="15" hidden="false" customHeight="false" outlineLevel="0" collapsed="false">
      <c r="A924" s="25" t="n">
        <v>46246</v>
      </c>
      <c r="B924" s="26" t="s">
        <v>16</v>
      </c>
      <c r="C924" s="26" t="s">
        <v>72</v>
      </c>
      <c r="D924" s="26" t="s">
        <v>26</v>
      </c>
      <c r="E924" s="26" t="n">
        <v>100</v>
      </c>
    </row>
    <row r="925" customFormat="false" ht="15" hidden="false" customHeight="false" outlineLevel="0" collapsed="false">
      <c r="A925" s="25" t="n">
        <v>46246</v>
      </c>
      <c r="B925" s="26" t="s">
        <v>16</v>
      </c>
      <c r="C925" s="26" t="s">
        <v>72</v>
      </c>
      <c r="D925" s="26" t="s">
        <v>30</v>
      </c>
      <c r="E925" s="26" t="n">
        <v>33</v>
      </c>
    </row>
    <row r="926" customFormat="false" ht="15" hidden="false" customHeight="false" outlineLevel="0" collapsed="false">
      <c r="A926" s="25" t="n">
        <v>46246</v>
      </c>
      <c r="B926" s="26" t="s">
        <v>16</v>
      </c>
      <c r="C926" s="26" t="s">
        <v>73</v>
      </c>
      <c r="D926" s="26" t="s">
        <v>31</v>
      </c>
      <c r="E926" s="26" t="n">
        <v>55</v>
      </c>
    </row>
    <row r="927" customFormat="false" ht="15" hidden="false" customHeight="false" outlineLevel="0" collapsed="false">
      <c r="A927" s="25" t="n">
        <v>46246</v>
      </c>
      <c r="B927" s="26" t="s">
        <v>16</v>
      </c>
      <c r="C927" s="26" t="s">
        <v>73</v>
      </c>
      <c r="D927" s="26" t="s">
        <v>26</v>
      </c>
      <c r="E927" s="26" t="n">
        <v>35</v>
      </c>
    </row>
    <row r="928" customFormat="false" ht="15" hidden="false" customHeight="false" outlineLevel="0" collapsed="false">
      <c r="A928" s="25" t="n">
        <v>46246</v>
      </c>
      <c r="B928" s="26" t="s">
        <v>16</v>
      </c>
      <c r="C928" s="26" t="s">
        <v>73</v>
      </c>
      <c r="D928" s="26" t="s">
        <v>27</v>
      </c>
      <c r="E928" s="26" t="n">
        <v>28</v>
      </c>
    </row>
    <row r="929" customFormat="false" ht="15" hidden="false" customHeight="false" outlineLevel="0" collapsed="false">
      <c r="A929" s="25" t="n">
        <v>46246</v>
      </c>
      <c r="B929" s="26" t="s">
        <v>17</v>
      </c>
      <c r="C929" s="26" t="s">
        <v>72</v>
      </c>
      <c r="D929" s="26" t="s">
        <v>31</v>
      </c>
      <c r="E929" s="26" t="n">
        <v>56</v>
      </c>
    </row>
    <row r="930" customFormat="false" ht="15" hidden="false" customHeight="false" outlineLevel="0" collapsed="false">
      <c r="A930" s="25" t="n">
        <v>46246</v>
      </c>
      <c r="B930" s="26" t="s">
        <v>17</v>
      </c>
      <c r="C930" s="26" t="s">
        <v>72</v>
      </c>
      <c r="D930" s="26" t="s">
        <v>27</v>
      </c>
      <c r="E930" s="26" t="n">
        <v>8</v>
      </c>
    </row>
    <row r="931" customFormat="false" ht="15" hidden="false" customHeight="false" outlineLevel="0" collapsed="false">
      <c r="A931" s="25" t="n">
        <v>46246</v>
      </c>
      <c r="B931" s="26" t="s">
        <v>17</v>
      </c>
      <c r="C931" s="26" t="s">
        <v>73</v>
      </c>
      <c r="D931" s="26" t="s">
        <v>26</v>
      </c>
      <c r="E931" s="26" t="n">
        <v>65</v>
      </c>
    </row>
    <row r="932" customFormat="false" ht="15" hidden="false" customHeight="false" outlineLevel="0" collapsed="false">
      <c r="A932" s="25" t="n">
        <v>46246</v>
      </c>
      <c r="B932" s="26" t="s">
        <v>17</v>
      </c>
      <c r="C932" s="26" t="s">
        <v>74</v>
      </c>
      <c r="D932" s="26" t="s">
        <v>26</v>
      </c>
      <c r="E932" s="26" t="n">
        <v>17</v>
      </c>
    </row>
    <row r="933" customFormat="false" ht="15" hidden="false" customHeight="false" outlineLevel="0" collapsed="false">
      <c r="A933" s="25" t="n">
        <v>46246</v>
      </c>
      <c r="B933" s="26" t="s">
        <v>17</v>
      </c>
      <c r="C933" s="26" t="s">
        <v>74</v>
      </c>
      <c r="D933" s="26" t="s">
        <v>26</v>
      </c>
      <c r="E933" s="26" t="n">
        <v>47</v>
      </c>
    </row>
    <row r="934" customFormat="false" ht="15" hidden="false" customHeight="false" outlineLevel="0" collapsed="false">
      <c r="A934" s="25" t="n">
        <v>46246</v>
      </c>
      <c r="B934" s="26" t="s">
        <v>17</v>
      </c>
      <c r="C934" s="26" t="s">
        <v>74</v>
      </c>
      <c r="D934" s="26" t="s">
        <v>28</v>
      </c>
      <c r="E934" s="26" t="n">
        <v>75</v>
      </c>
    </row>
    <row r="935" customFormat="false" ht="15" hidden="false" customHeight="false" outlineLevel="0" collapsed="false">
      <c r="A935" s="25" t="n">
        <v>46246</v>
      </c>
      <c r="B935" s="26" t="s">
        <v>17</v>
      </c>
      <c r="C935" s="26" t="s">
        <v>74</v>
      </c>
      <c r="D935" s="26" t="s">
        <v>28</v>
      </c>
      <c r="E935" s="26" t="n">
        <v>49</v>
      </c>
    </row>
    <row r="936" customFormat="false" ht="15" hidden="false" customHeight="false" outlineLevel="0" collapsed="false">
      <c r="A936" s="25" t="n">
        <v>46246</v>
      </c>
      <c r="B936" s="26" t="s">
        <v>18</v>
      </c>
      <c r="C936" s="26" t="s">
        <v>72</v>
      </c>
      <c r="D936" s="26" t="s">
        <v>27</v>
      </c>
      <c r="E936" s="26" t="n">
        <v>23</v>
      </c>
    </row>
    <row r="937" customFormat="false" ht="15" hidden="false" customHeight="false" outlineLevel="0" collapsed="false">
      <c r="A937" s="25" t="n">
        <v>46246</v>
      </c>
      <c r="B937" s="26" t="s">
        <v>18</v>
      </c>
      <c r="C937" s="26" t="s">
        <v>72</v>
      </c>
      <c r="D937" s="26" t="s">
        <v>30</v>
      </c>
      <c r="E937" s="26" t="n">
        <v>18</v>
      </c>
    </row>
    <row r="938" customFormat="false" ht="15" hidden="false" customHeight="false" outlineLevel="0" collapsed="false">
      <c r="A938" s="25" t="n">
        <v>46246</v>
      </c>
      <c r="B938" s="26" t="s">
        <v>18</v>
      </c>
      <c r="C938" s="26" t="s">
        <v>72</v>
      </c>
      <c r="D938" s="26" t="s">
        <v>26</v>
      </c>
      <c r="E938" s="26" t="n">
        <v>58</v>
      </c>
    </row>
    <row r="939" customFormat="false" ht="15" hidden="false" customHeight="false" outlineLevel="0" collapsed="false">
      <c r="A939" s="25" t="n">
        <v>46246</v>
      </c>
      <c r="B939" s="26" t="s">
        <v>18</v>
      </c>
      <c r="C939" s="26" t="s">
        <v>72</v>
      </c>
      <c r="D939" s="26" t="s">
        <v>26</v>
      </c>
      <c r="E939" s="26" t="n">
        <v>36</v>
      </c>
    </row>
    <row r="940" customFormat="false" ht="15" hidden="false" customHeight="false" outlineLevel="0" collapsed="false">
      <c r="A940" s="25" t="n">
        <v>46246</v>
      </c>
      <c r="B940" s="26" t="s">
        <v>18</v>
      </c>
      <c r="C940" s="26" t="s">
        <v>73</v>
      </c>
      <c r="D940" s="26" t="s">
        <v>28</v>
      </c>
      <c r="E940" s="26" t="n">
        <v>37</v>
      </c>
    </row>
    <row r="941" customFormat="false" ht="15" hidden="false" customHeight="false" outlineLevel="0" collapsed="false">
      <c r="A941" s="25" t="n">
        <v>46246</v>
      </c>
      <c r="B941" s="26" t="s">
        <v>18</v>
      </c>
      <c r="C941" s="26" t="s">
        <v>74</v>
      </c>
      <c r="D941" s="26" t="s">
        <v>27</v>
      </c>
      <c r="E941" s="26" t="n">
        <v>14</v>
      </c>
    </row>
    <row r="942" customFormat="false" ht="15" hidden="false" customHeight="false" outlineLevel="0" collapsed="false">
      <c r="A942" s="25" t="n">
        <v>46247</v>
      </c>
      <c r="B942" s="26" t="s">
        <v>16</v>
      </c>
      <c r="C942" s="26" t="s">
        <v>72</v>
      </c>
      <c r="D942" s="26" t="s">
        <v>29</v>
      </c>
      <c r="E942" s="26" t="n">
        <v>24</v>
      </c>
    </row>
    <row r="943" customFormat="false" ht="15" hidden="false" customHeight="false" outlineLevel="0" collapsed="false">
      <c r="A943" s="25" t="n">
        <v>46247</v>
      </c>
      <c r="B943" s="26" t="s">
        <v>16</v>
      </c>
      <c r="C943" s="26" t="s">
        <v>73</v>
      </c>
      <c r="D943" s="26" t="s">
        <v>26</v>
      </c>
      <c r="E943" s="26" t="n">
        <v>28</v>
      </c>
    </row>
    <row r="944" customFormat="false" ht="15" hidden="false" customHeight="false" outlineLevel="0" collapsed="false">
      <c r="A944" s="25" t="n">
        <v>46247</v>
      </c>
      <c r="B944" s="26" t="s">
        <v>16</v>
      </c>
      <c r="C944" s="26" t="s">
        <v>74</v>
      </c>
      <c r="D944" s="26" t="s">
        <v>26</v>
      </c>
      <c r="E944" s="26" t="n">
        <v>55</v>
      </c>
    </row>
    <row r="945" customFormat="false" ht="15" hidden="false" customHeight="false" outlineLevel="0" collapsed="false">
      <c r="A945" s="25" t="n">
        <v>46247</v>
      </c>
      <c r="B945" s="26" t="s">
        <v>16</v>
      </c>
      <c r="C945" s="26" t="s">
        <v>74</v>
      </c>
      <c r="D945" s="26" t="s">
        <v>26</v>
      </c>
      <c r="E945" s="26" t="n">
        <v>45</v>
      </c>
    </row>
    <row r="946" customFormat="false" ht="15" hidden="false" customHeight="false" outlineLevel="0" collapsed="false">
      <c r="A946" s="25" t="n">
        <v>46247</v>
      </c>
      <c r="B946" s="26" t="s">
        <v>16</v>
      </c>
      <c r="C946" s="26" t="s">
        <v>74</v>
      </c>
      <c r="D946" s="26" t="s">
        <v>30</v>
      </c>
      <c r="E946" s="26" t="n">
        <v>20</v>
      </c>
    </row>
    <row r="947" customFormat="false" ht="15" hidden="false" customHeight="false" outlineLevel="0" collapsed="false">
      <c r="A947" s="25" t="n">
        <v>46247</v>
      </c>
      <c r="B947" s="26" t="s">
        <v>17</v>
      </c>
      <c r="C947" s="26" t="s">
        <v>72</v>
      </c>
      <c r="D947" s="26" t="s">
        <v>27</v>
      </c>
      <c r="E947" s="26" t="n">
        <v>30</v>
      </c>
    </row>
    <row r="948" customFormat="false" ht="15" hidden="false" customHeight="false" outlineLevel="0" collapsed="false">
      <c r="A948" s="25" t="n">
        <v>46247</v>
      </c>
      <c r="B948" s="26" t="s">
        <v>17</v>
      </c>
      <c r="C948" s="26" t="s">
        <v>72</v>
      </c>
      <c r="D948" s="26" t="s">
        <v>26</v>
      </c>
      <c r="E948" s="26" t="n">
        <v>27</v>
      </c>
    </row>
    <row r="949" customFormat="false" ht="15" hidden="false" customHeight="false" outlineLevel="0" collapsed="false">
      <c r="A949" s="25" t="n">
        <v>46247</v>
      </c>
      <c r="B949" s="26" t="s">
        <v>17</v>
      </c>
      <c r="C949" s="26" t="s">
        <v>72</v>
      </c>
      <c r="D949" s="26" t="s">
        <v>27</v>
      </c>
      <c r="E949" s="26" t="n">
        <v>34</v>
      </c>
    </row>
    <row r="950" customFormat="false" ht="15" hidden="false" customHeight="false" outlineLevel="0" collapsed="false">
      <c r="A950" s="25" t="n">
        <v>46247</v>
      </c>
      <c r="B950" s="26" t="s">
        <v>17</v>
      </c>
      <c r="C950" s="26" t="s">
        <v>72</v>
      </c>
      <c r="D950" s="26" t="s">
        <v>27</v>
      </c>
      <c r="E950" s="26" t="n">
        <v>22</v>
      </c>
    </row>
    <row r="951" customFormat="false" ht="15" hidden="false" customHeight="false" outlineLevel="0" collapsed="false">
      <c r="A951" s="25" t="n">
        <v>46247</v>
      </c>
      <c r="B951" s="26" t="s">
        <v>17</v>
      </c>
      <c r="C951" s="26" t="s">
        <v>73</v>
      </c>
      <c r="D951" s="26" t="s">
        <v>26</v>
      </c>
      <c r="E951" s="26" t="n">
        <v>37</v>
      </c>
    </row>
    <row r="952" customFormat="false" ht="15" hidden="false" customHeight="false" outlineLevel="0" collapsed="false">
      <c r="A952" s="25" t="n">
        <v>46247</v>
      </c>
      <c r="B952" s="26" t="s">
        <v>17</v>
      </c>
      <c r="C952" s="26" t="s">
        <v>73</v>
      </c>
      <c r="D952" s="26" t="s">
        <v>26</v>
      </c>
      <c r="E952" s="26" t="n">
        <v>56</v>
      </c>
    </row>
    <row r="953" customFormat="false" ht="15" hidden="false" customHeight="false" outlineLevel="0" collapsed="false">
      <c r="A953" s="25" t="n">
        <v>46247</v>
      </c>
      <c r="B953" s="26" t="s">
        <v>17</v>
      </c>
      <c r="C953" s="26" t="s">
        <v>74</v>
      </c>
      <c r="D953" s="26" t="s">
        <v>31</v>
      </c>
      <c r="E953" s="26" t="n">
        <v>46</v>
      </c>
    </row>
    <row r="954" customFormat="false" ht="15" hidden="false" customHeight="false" outlineLevel="0" collapsed="false">
      <c r="A954" s="25" t="n">
        <v>46247</v>
      </c>
      <c r="B954" s="26" t="s">
        <v>17</v>
      </c>
      <c r="C954" s="26" t="s">
        <v>74</v>
      </c>
      <c r="D954" s="26" t="s">
        <v>26</v>
      </c>
      <c r="E954" s="26" t="n">
        <v>41</v>
      </c>
    </row>
    <row r="955" customFormat="false" ht="15" hidden="false" customHeight="false" outlineLevel="0" collapsed="false">
      <c r="A955" s="25" t="n">
        <v>46247</v>
      </c>
      <c r="B955" s="26" t="s">
        <v>18</v>
      </c>
      <c r="C955" s="26" t="s">
        <v>72</v>
      </c>
      <c r="D955" s="26" t="s">
        <v>27</v>
      </c>
      <c r="E955" s="26" t="n">
        <v>15</v>
      </c>
    </row>
    <row r="956" customFormat="false" ht="15" hidden="false" customHeight="false" outlineLevel="0" collapsed="false">
      <c r="A956" s="25" t="n">
        <v>46247</v>
      </c>
      <c r="B956" s="26" t="s">
        <v>18</v>
      </c>
      <c r="C956" s="26" t="s">
        <v>72</v>
      </c>
      <c r="D956" s="26" t="s">
        <v>27</v>
      </c>
      <c r="E956" s="26" t="n">
        <v>14</v>
      </c>
    </row>
    <row r="957" customFormat="false" ht="15" hidden="false" customHeight="false" outlineLevel="0" collapsed="false">
      <c r="A957" s="25" t="n">
        <v>46247</v>
      </c>
      <c r="B957" s="26" t="s">
        <v>18</v>
      </c>
      <c r="C957" s="26" t="s">
        <v>73</v>
      </c>
      <c r="D957" s="26" t="s">
        <v>26</v>
      </c>
      <c r="E957" s="26" t="n">
        <v>59</v>
      </c>
    </row>
    <row r="958" customFormat="false" ht="15" hidden="false" customHeight="false" outlineLevel="0" collapsed="false">
      <c r="A958" s="25" t="n">
        <v>46247</v>
      </c>
      <c r="B958" s="26" t="s">
        <v>18</v>
      </c>
      <c r="C958" s="26" t="s">
        <v>73</v>
      </c>
      <c r="D958" s="26" t="s">
        <v>26</v>
      </c>
      <c r="E958" s="26" t="n">
        <v>59</v>
      </c>
    </row>
    <row r="959" customFormat="false" ht="15" hidden="false" customHeight="false" outlineLevel="0" collapsed="false">
      <c r="A959" s="25" t="n">
        <v>46247</v>
      </c>
      <c r="B959" s="26" t="s">
        <v>18</v>
      </c>
      <c r="C959" s="26" t="s">
        <v>73</v>
      </c>
      <c r="D959" s="26" t="s">
        <v>26</v>
      </c>
      <c r="E959" s="26" t="n">
        <v>47</v>
      </c>
    </row>
    <row r="960" customFormat="false" ht="15" hidden="false" customHeight="false" outlineLevel="0" collapsed="false">
      <c r="A960" s="25" t="n">
        <v>46247</v>
      </c>
      <c r="B960" s="26" t="s">
        <v>18</v>
      </c>
      <c r="C960" s="26" t="s">
        <v>73</v>
      </c>
      <c r="D960" s="26" t="s">
        <v>29</v>
      </c>
      <c r="E960" s="26" t="n">
        <v>18</v>
      </c>
    </row>
    <row r="961" customFormat="false" ht="15" hidden="false" customHeight="false" outlineLevel="0" collapsed="false">
      <c r="A961" s="25" t="n">
        <v>46247</v>
      </c>
      <c r="B961" s="26" t="s">
        <v>18</v>
      </c>
      <c r="C961" s="26" t="s">
        <v>74</v>
      </c>
      <c r="D961" s="26" t="s">
        <v>31</v>
      </c>
      <c r="E961" s="26" t="n">
        <v>32</v>
      </c>
    </row>
    <row r="962" customFormat="false" ht="15" hidden="false" customHeight="false" outlineLevel="0" collapsed="false">
      <c r="A962" s="25" t="n">
        <v>46248</v>
      </c>
      <c r="B962" s="26" t="s">
        <v>16</v>
      </c>
      <c r="C962" s="26" t="s">
        <v>73</v>
      </c>
      <c r="D962" s="26" t="s">
        <v>31</v>
      </c>
      <c r="E962" s="26" t="n">
        <v>57</v>
      </c>
    </row>
    <row r="963" customFormat="false" ht="15" hidden="false" customHeight="false" outlineLevel="0" collapsed="false">
      <c r="A963" s="25" t="n">
        <v>46248</v>
      </c>
      <c r="B963" s="26" t="s">
        <v>16</v>
      </c>
      <c r="C963" s="26" t="s">
        <v>73</v>
      </c>
      <c r="D963" s="26" t="s">
        <v>28</v>
      </c>
      <c r="E963" s="26" t="n">
        <v>51</v>
      </c>
    </row>
    <row r="964" customFormat="false" ht="15" hidden="false" customHeight="false" outlineLevel="0" collapsed="false">
      <c r="A964" s="25" t="n">
        <v>46248</v>
      </c>
      <c r="B964" s="26" t="s">
        <v>16</v>
      </c>
      <c r="C964" s="26" t="s">
        <v>74</v>
      </c>
      <c r="D964" s="26" t="s">
        <v>26</v>
      </c>
      <c r="E964" s="26" t="n">
        <v>23</v>
      </c>
    </row>
    <row r="965" customFormat="false" ht="15" hidden="false" customHeight="false" outlineLevel="0" collapsed="false">
      <c r="A965" s="25" t="n">
        <v>46248</v>
      </c>
      <c r="B965" s="26" t="s">
        <v>16</v>
      </c>
      <c r="C965" s="26" t="s">
        <v>74</v>
      </c>
      <c r="D965" s="26" t="s">
        <v>29</v>
      </c>
      <c r="E965" s="26" t="n">
        <v>12</v>
      </c>
    </row>
    <row r="966" customFormat="false" ht="15" hidden="false" customHeight="false" outlineLevel="0" collapsed="false">
      <c r="A966" s="25" t="n">
        <v>46248</v>
      </c>
      <c r="B966" s="26" t="s">
        <v>17</v>
      </c>
      <c r="C966" s="26" t="s">
        <v>72</v>
      </c>
      <c r="D966" s="26" t="s">
        <v>31</v>
      </c>
      <c r="E966" s="26" t="n">
        <v>43</v>
      </c>
    </row>
    <row r="967" customFormat="false" ht="15" hidden="false" customHeight="false" outlineLevel="0" collapsed="false">
      <c r="A967" s="25" t="n">
        <v>46248</v>
      </c>
      <c r="B967" s="26" t="s">
        <v>17</v>
      </c>
      <c r="C967" s="26" t="s">
        <v>72</v>
      </c>
      <c r="D967" s="26" t="s">
        <v>31</v>
      </c>
      <c r="E967" s="26" t="n">
        <v>51</v>
      </c>
    </row>
    <row r="968" customFormat="false" ht="15" hidden="false" customHeight="false" outlineLevel="0" collapsed="false">
      <c r="A968" s="25" t="n">
        <v>46248</v>
      </c>
      <c r="B968" s="26" t="s">
        <v>17</v>
      </c>
      <c r="C968" s="26" t="s">
        <v>73</v>
      </c>
      <c r="D968" s="26" t="s">
        <v>28</v>
      </c>
      <c r="E968" s="26" t="n">
        <v>51</v>
      </c>
    </row>
    <row r="969" customFormat="false" ht="15" hidden="false" customHeight="false" outlineLevel="0" collapsed="false">
      <c r="A969" s="25" t="n">
        <v>46248</v>
      </c>
      <c r="B969" s="26" t="s">
        <v>17</v>
      </c>
      <c r="C969" s="26" t="s">
        <v>73</v>
      </c>
      <c r="D969" s="26" t="s">
        <v>26</v>
      </c>
      <c r="E969" s="26" t="n">
        <v>14</v>
      </c>
    </row>
    <row r="970" customFormat="false" ht="15" hidden="false" customHeight="false" outlineLevel="0" collapsed="false">
      <c r="A970" s="25" t="n">
        <v>46248</v>
      </c>
      <c r="B970" s="26" t="s">
        <v>17</v>
      </c>
      <c r="C970" s="26" t="s">
        <v>73</v>
      </c>
      <c r="D970" s="26" t="s">
        <v>26</v>
      </c>
      <c r="E970" s="26" t="n">
        <v>24</v>
      </c>
    </row>
    <row r="971" customFormat="false" ht="15" hidden="false" customHeight="false" outlineLevel="0" collapsed="false">
      <c r="A971" s="25" t="n">
        <v>46248</v>
      </c>
      <c r="B971" s="26" t="s">
        <v>17</v>
      </c>
      <c r="C971" s="26" t="s">
        <v>73</v>
      </c>
      <c r="D971" s="26" t="s">
        <v>27</v>
      </c>
      <c r="E971" s="26" t="n">
        <v>19</v>
      </c>
    </row>
    <row r="972" customFormat="false" ht="15" hidden="false" customHeight="false" outlineLevel="0" collapsed="false">
      <c r="A972" s="25" t="n">
        <v>46248</v>
      </c>
      <c r="B972" s="26" t="s">
        <v>17</v>
      </c>
      <c r="C972" s="26" t="s">
        <v>73</v>
      </c>
      <c r="D972" s="26" t="s">
        <v>30</v>
      </c>
      <c r="E972" s="26" t="n">
        <v>41</v>
      </c>
    </row>
    <row r="973" customFormat="false" ht="15" hidden="false" customHeight="false" outlineLevel="0" collapsed="false">
      <c r="A973" s="25" t="n">
        <v>46248</v>
      </c>
      <c r="B973" s="26" t="s">
        <v>17</v>
      </c>
      <c r="C973" s="26" t="s">
        <v>74</v>
      </c>
      <c r="D973" s="26" t="s">
        <v>27</v>
      </c>
      <c r="E973" s="26" t="n">
        <v>26</v>
      </c>
    </row>
    <row r="974" customFormat="false" ht="15" hidden="false" customHeight="false" outlineLevel="0" collapsed="false">
      <c r="A974" s="25" t="n">
        <v>46248</v>
      </c>
      <c r="B974" s="26" t="s">
        <v>18</v>
      </c>
      <c r="C974" s="26" t="s">
        <v>73</v>
      </c>
      <c r="D974" s="26" t="s">
        <v>27</v>
      </c>
      <c r="E974" s="26" t="n">
        <v>24</v>
      </c>
    </row>
    <row r="975" customFormat="false" ht="15" hidden="false" customHeight="false" outlineLevel="0" collapsed="false">
      <c r="A975" s="25" t="n">
        <v>46248</v>
      </c>
      <c r="B975" s="26" t="s">
        <v>18</v>
      </c>
      <c r="C975" s="26" t="s">
        <v>73</v>
      </c>
      <c r="D975" s="26" t="s">
        <v>26</v>
      </c>
      <c r="E975" s="26" t="n">
        <v>50</v>
      </c>
    </row>
    <row r="976" customFormat="false" ht="15" hidden="false" customHeight="false" outlineLevel="0" collapsed="false">
      <c r="A976" s="25" t="n">
        <v>46248</v>
      </c>
      <c r="B976" s="26" t="s">
        <v>18</v>
      </c>
      <c r="C976" s="26" t="s">
        <v>73</v>
      </c>
      <c r="D976" s="26" t="s">
        <v>27</v>
      </c>
      <c r="E976" s="26" t="n">
        <v>12</v>
      </c>
    </row>
    <row r="977" customFormat="false" ht="15" hidden="false" customHeight="false" outlineLevel="0" collapsed="false">
      <c r="A977" s="25" t="n">
        <v>46248</v>
      </c>
      <c r="B977" s="26" t="s">
        <v>18</v>
      </c>
      <c r="C977" s="26" t="s">
        <v>74</v>
      </c>
      <c r="D977" s="26" t="s">
        <v>28</v>
      </c>
      <c r="E977" s="26" t="n">
        <v>40</v>
      </c>
    </row>
    <row r="978" customFormat="false" ht="15" hidden="false" customHeight="false" outlineLevel="0" collapsed="false">
      <c r="A978" s="25" t="n">
        <v>46248</v>
      </c>
      <c r="B978" s="26" t="s">
        <v>18</v>
      </c>
      <c r="C978" s="26" t="s">
        <v>74</v>
      </c>
      <c r="D978" s="26" t="s">
        <v>27</v>
      </c>
      <c r="E978" s="26" t="n">
        <v>52</v>
      </c>
    </row>
    <row r="979" customFormat="false" ht="15" hidden="false" customHeight="false" outlineLevel="0" collapsed="false">
      <c r="A979" s="25" t="n">
        <v>46248</v>
      </c>
      <c r="B979" s="26" t="s">
        <v>18</v>
      </c>
      <c r="C979" s="26" t="s">
        <v>74</v>
      </c>
      <c r="D979" s="26" t="s">
        <v>27</v>
      </c>
      <c r="E979" s="26" t="n">
        <v>39</v>
      </c>
    </row>
    <row r="980" customFormat="false" ht="15" hidden="false" customHeight="false" outlineLevel="0" collapsed="false">
      <c r="A980" s="25" t="n">
        <v>46249</v>
      </c>
      <c r="B980" s="26" t="s">
        <v>16</v>
      </c>
      <c r="C980" s="26" t="s">
        <v>72</v>
      </c>
      <c r="D980" s="26" t="s">
        <v>26</v>
      </c>
      <c r="E980" s="26" t="n">
        <v>43</v>
      </c>
    </row>
    <row r="981" customFormat="false" ht="15" hidden="false" customHeight="false" outlineLevel="0" collapsed="false">
      <c r="A981" s="25" t="n">
        <v>46249</v>
      </c>
      <c r="B981" s="26" t="s">
        <v>16</v>
      </c>
      <c r="C981" s="26" t="s">
        <v>73</v>
      </c>
      <c r="D981" s="26" t="s">
        <v>27</v>
      </c>
      <c r="E981" s="26" t="n">
        <v>26</v>
      </c>
    </row>
    <row r="982" customFormat="false" ht="15" hidden="false" customHeight="false" outlineLevel="0" collapsed="false">
      <c r="A982" s="25" t="n">
        <v>46249</v>
      </c>
      <c r="B982" s="26" t="s">
        <v>16</v>
      </c>
      <c r="C982" s="26" t="s">
        <v>73</v>
      </c>
      <c r="D982" s="26" t="s">
        <v>31</v>
      </c>
      <c r="E982" s="26" t="n">
        <v>71</v>
      </c>
    </row>
    <row r="983" customFormat="false" ht="15" hidden="false" customHeight="false" outlineLevel="0" collapsed="false">
      <c r="A983" s="25" t="n">
        <v>46249</v>
      </c>
      <c r="B983" s="26" t="s">
        <v>16</v>
      </c>
      <c r="C983" s="26" t="s">
        <v>73</v>
      </c>
      <c r="D983" s="26" t="s">
        <v>29</v>
      </c>
      <c r="E983" s="26" t="n">
        <v>14</v>
      </c>
    </row>
    <row r="984" customFormat="false" ht="15" hidden="false" customHeight="false" outlineLevel="0" collapsed="false">
      <c r="A984" s="25" t="n">
        <v>46249</v>
      </c>
      <c r="B984" s="26" t="s">
        <v>16</v>
      </c>
      <c r="C984" s="26" t="s">
        <v>74</v>
      </c>
      <c r="D984" s="26" t="s">
        <v>28</v>
      </c>
      <c r="E984" s="26" t="n">
        <v>83</v>
      </c>
    </row>
    <row r="985" customFormat="false" ht="15" hidden="false" customHeight="false" outlineLevel="0" collapsed="false">
      <c r="A985" s="25" t="n">
        <v>46249</v>
      </c>
      <c r="B985" s="26" t="s">
        <v>16</v>
      </c>
      <c r="C985" s="26" t="s">
        <v>74</v>
      </c>
      <c r="D985" s="26" t="s">
        <v>26</v>
      </c>
      <c r="E985" s="26" t="n">
        <v>48</v>
      </c>
    </row>
    <row r="986" customFormat="false" ht="15" hidden="false" customHeight="false" outlineLevel="0" collapsed="false">
      <c r="A986" s="25" t="n">
        <v>46249</v>
      </c>
      <c r="B986" s="26" t="s">
        <v>17</v>
      </c>
      <c r="C986" s="26" t="s">
        <v>72</v>
      </c>
      <c r="D986" s="26" t="s">
        <v>27</v>
      </c>
      <c r="E986" s="26" t="n">
        <v>15</v>
      </c>
    </row>
    <row r="987" customFormat="false" ht="15" hidden="false" customHeight="false" outlineLevel="0" collapsed="false">
      <c r="A987" s="25" t="n">
        <v>46249</v>
      </c>
      <c r="B987" s="26" t="s">
        <v>17</v>
      </c>
      <c r="C987" s="26" t="s">
        <v>72</v>
      </c>
      <c r="D987" s="26" t="s">
        <v>29</v>
      </c>
      <c r="E987" s="26" t="n">
        <v>24</v>
      </c>
    </row>
    <row r="988" customFormat="false" ht="15" hidden="false" customHeight="false" outlineLevel="0" collapsed="false">
      <c r="A988" s="25" t="n">
        <v>46249</v>
      </c>
      <c r="B988" s="26" t="s">
        <v>17</v>
      </c>
      <c r="C988" s="26" t="s">
        <v>72</v>
      </c>
      <c r="D988" s="26" t="s">
        <v>27</v>
      </c>
      <c r="E988" s="26" t="n">
        <v>27</v>
      </c>
    </row>
    <row r="989" customFormat="false" ht="15" hidden="false" customHeight="false" outlineLevel="0" collapsed="false">
      <c r="A989" s="25" t="n">
        <v>46249</v>
      </c>
      <c r="B989" s="26" t="s">
        <v>17</v>
      </c>
      <c r="C989" s="26" t="s">
        <v>72</v>
      </c>
      <c r="D989" s="26" t="s">
        <v>30</v>
      </c>
      <c r="E989" s="26" t="n">
        <v>27</v>
      </c>
    </row>
    <row r="990" customFormat="false" ht="15" hidden="false" customHeight="false" outlineLevel="0" collapsed="false">
      <c r="A990" s="25" t="n">
        <v>46249</v>
      </c>
      <c r="B990" s="26" t="s">
        <v>17</v>
      </c>
      <c r="C990" s="26" t="s">
        <v>72</v>
      </c>
      <c r="D990" s="26" t="s">
        <v>27</v>
      </c>
      <c r="E990" s="26" t="n">
        <v>27</v>
      </c>
    </row>
    <row r="991" customFormat="false" ht="15" hidden="false" customHeight="false" outlineLevel="0" collapsed="false">
      <c r="A991" s="25" t="n">
        <v>46249</v>
      </c>
      <c r="B991" s="26" t="s">
        <v>17</v>
      </c>
      <c r="C991" s="26" t="s">
        <v>73</v>
      </c>
      <c r="D991" s="26" t="s">
        <v>27</v>
      </c>
      <c r="E991" s="26" t="n">
        <v>17</v>
      </c>
    </row>
    <row r="992" customFormat="false" ht="15" hidden="false" customHeight="false" outlineLevel="0" collapsed="false">
      <c r="A992" s="25" t="n">
        <v>46249</v>
      </c>
      <c r="B992" s="26" t="s">
        <v>17</v>
      </c>
      <c r="C992" s="26" t="s">
        <v>74</v>
      </c>
      <c r="D992" s="26" t="s">
        <v>26</v>
      </c>
      <c r="E992" s="26" t="n">
        <v>13</v>
      </c>
    </row>
    <row r="993" customFormat="false" ht="15" hidden="false" customHeight="false" outlineLevel="0" collapsed="false">
      <c r="A993" s="25" t="n">
        <v>46249</v>
      </c>
      <c r="B993" s="26" t="s">
        <v>17</v>
      </c>
      <c r="C993" s="26" t="s">
        <v>74</v>
      </c>
      <c r="D993" s="26" t="s">
        <v>29</v>
      </c>
      <c r="E993" s="26" t="n">
        <v>27</v>
      </c>
    </row>
    <row r="994" customFormat="false" ht="15" hidden="false" customHeight="false" outlineLevel="0" collapsed="false">
      <c r="A994" s="25" t="n">
        <v>46249</v>
      </c>
      <c r="B994" s="26" t="s">
        <v>18</v>
      </c>
      <c r="C994" s="26" t="s">
        <v>72</v>
      </c>
      <c r="D994" s="26" t="s">
        <v>27</v>
      </c>
      <c r="E994" s="26" t="n">
        <v>9</v>
      </c>
    </row>
    <row r="995" customFormat="false" ht="15" hidden="false" customHeight="false" outlineLevel="0" collapsed="false">
      <c r="A995" s="25" t="n">
        <v>46249</v>
      </c>
      <c r="B995" s="26" t="s">
        <v>18</v>
      </c>
      <c r="C995" s="26" t="s">
        <v>72</v>
      </c>
      <c r="D995" s="26" t="s">
        <v>31</v>
      </c>
      <c r="E995" s="26" t="n">
        <v>29</v>
      </c>
    </row>
    <row r="996" customFormat="false" ht="15" hidden="false" customHeight="false" outlineLevel="0" collapsed="false">
      <c r="A996" s="25" t="n">
        <v>46249</v>
      </c>
      <c r="B996" s="26" t="s">
        <v>18</v>
      </c>
      <c r="C996" s="26" t="s">
        <v>74</v>
      </c>
      <c r="D996" s="26" t="s">
        <v>26</v>
      </c>
      <c r="E996" s="26" t="n">
        <v>18</v>
      </c>
    </row>
    <row r="997" customFormat="false" ht="15" hidden="false" customHeight="false" outlineLevel="0" collapsed="false">
      <c r="A997" s="25" t="n">
        <v>46249</v>
      </c>
      <c r="B997" s="26" t="s">
        <v>18</v>
      </c>
      <c r="C997" s="26" t="s">
        <v>74</v>
      </c>
      <c r="D997" s="26" t="s">
        <v>30</v>
      </c>
      <c r="E997" s="26" t="n">
        <v>30</v>
      </c>
    </row>
    <row r="998" customFormat="false" ht="15" hidden="false" customHeight="false" outlineLevel="0" collapsed="false">
      <c r="A998" s="25" t="n">
        <v>46250</v>
      </c>
      <c r="B998" s="26" t="s">
        <v>16</v>
      </c>
      <c r="C998" s="26" t="s">
        <v>72</v>
      </c>
      <c r="D998" s="26" t="s">
        <v>26</v>
      </c>
      <c r="E998" s="26" t="n">
        <v>25</v>
      </c>
    </row>
    <row r="999" customFormat="false" ht="15" hidden="false" customHeight="false" outlineLevel="0" collapsed="false">
      <c r="A999" s="25" t="n">
        <v>46250</v>
      </c>
      <c r="B999" s="26" t="s">
        <v>16</v>
      </c>
      <c r="C999" s="26" t="s">
        <v>72</v>
      </c>
      <c r="D999" s="26" t="s">
        <v>26</v>
      </c>
      <c r="E999" s="26" t="n">
        <v>20</v>
      </c>
    </row>
    <row r="1000" customFormat="false" ht="15" hidden="false" customHeight="false" outlineLevel="0" collapsed="false">
      <c r="A1000" s="25" t="n">
        <v>46250</v>
      </c>
      <c r="B1000" s="26" t="s">
        <v>16</v>
      </c>
      <c r="C1000" s="26" t="s">
        <v>73</v>
      </c>
      <c r="D1000" s="26" t="s">
        <v>26</v>
      </c>
      <c r="E1000" s="26" t="n">
        <v>37</v>
      </c>
    </row>
    <row r="1001" customFormat="false" ht="15" hidden="false" customHeight="false" outlineLevel="0" collapsed="false">
      <c r="A1001" s="25" t="n">
        <v>46250</v>
      </c>
      <c r="B1001" s="26" t="s">
        <v>16</v>
      </c>
      <c r="C1001" s="26" t="s">
        <v>73</v>
      </c>
      <c r="D1001" s="26" t="s">
        <v>27</v>
      </c>
      <c r="E1001" s="26" t="n">
        <v>22</v>
      </c>
    </row>
    <row r="1002" customFormat="false" ht="15" hidden="false" customHeight="false" outlineLevel="0" collapsed="false">
      <c r="A1002" s="25" t="n">
        <v>46250</v>
      </c>
      <c r="B1002" s="26" t="s">
        <v>16</v>
      </c>
      <c r="C1002" s="26" t="s">
        <v>73</v>
      </c>
      <c r="D1002" s="26" t="s">
        <v>26</v>
      </c>
      <c r="E1002" s="26" t="n">
        <v>27</v>
      </c>
    </row>
    <row r="1003" customFormat="false" ht="15" hidden="false" customHeight="false" outlineLevel="0" collapsed="false">
      <c r="A1003" s="25" t="n">
        <v>46250</v>
      </c>
      <c r="B1003" s="26" t="s">
        <v>16</v>
      </c>
      <c r="C1003" s="26" t="s">
        <v>73</v>
      </c>
      <c r="D1003" s="26" t="s">
        <v>27</v>
      </c>
      <c r="E1003" s="26" t="n">
        <v>24</v>
      </c>
    </row>
    <row r="1004" customFormat="false" ht="15" hidden="false" customHeight="false" outlineLevel="0" collapsed="false">
      <c r="A1004" s="25" t="n">
        <v>46250</v>
      </c>
      <c r="B1004" s="26" t="s">
        <v>16</v>
      </c>
      <c r="C1004" s="26" t="s">
        <v>74</v>
      </c>
      <c r="D1004" s="26" t="s">
        <v>27</v>
      </c>
      <c r="E1004" s="26" t="n">
        <v>32</v>
      </c>
    </row>
    <row r="1005" customFormat="false" ht="15" hidden="false" customHeight="false" outlineLevel="0" collapsed="false">
      <c r="A1005" s="25" t="n">
        <v>46250</v>
      </c>
      <c r="B1005" s="26" t="s">
        <v>16</v>
      </c>
      <c r="C1005" s="26" t="s">
        <v>74</v>
      </c>
      <c r="D1005" s="26" t="s">
        <v>26</v>
      </c>
      <c r="E1005" s="26" t="n">
        <v>36</v>
      </c>
    </row>
    <row r="1006" customFormat="false" ht="15" hidden="false" customHeight="false" outlineLevel="0" collapsed="false">
      <c r="A1006" s="25" t="n">
        <v>46250</v>
      </c>
      <c r="B1006" s="26" t="s">
        <v>16</v>
      </c>
      <c r="C1006" s="26" t="s">
        <v>74</v>
      </c>
      <c r="D1006" s="26" t="s">
        <v>26</v>
      </c>
      <c r="E1006" s="26" t="n">
        <v>27</v>
      </c>
    </row>
    <row r="1007" customFormat="false" ht="15" hidden="false" customHeight="false" outlineLevel="0" collapsed="false">
      <c r="A1007" s="25" t="n">
        <v>46250</v>
      </c>
      <c r="B1007" s="26" t="s">
        <v>16</v>
      </c>
      <c r="C1007" s="26" t="s">
        <v>74</v>
      </c>
      <c r="D1007" s="26" t="s">
        <v>26</v>
      </c>
      <c r="E1007" s="26" t="n">
        <v>46</v>
      </c>
    </row>
    <row r="1008" customFormat="false" ht="15" hidden="false" customHeight="false" outlineLevel="0" collapsed="false">
      <c r="A1008" s="25" t="n">
        <v>46250</v>
      </c>
      <c r="B1008" s="26" t="s">
        <v>17</v>
      </c>
      <c r="C1008" s="26" t="s">
        <v>72</v>
      </c>
      <c r="D1008" s="26" t="s">
        <v>29</v>
      </c>
      <c r="E1008" s="26" t="n">
        <v>17</v>
      </c>
    </row>
    <row r="1009" customFormat="false" ht="15" hidden="false" customHeight="false" outlineLevel="0" collapsed="false">
      <c r="A1009" s="25" t="n">
        <v>46250</v>
      </c>
      <c r="B1009" s="26" t="s">
        <v>17</v>
      </c>
      <c r="C1009" s="26" t="s">
        <v>72</v>
      </c>
      <c r="D1009" s="26" t="s">
        <v>29</v>
      </c>
      <c r="E1009" s="26" t="n">
        <v>21</v>
      </c>
    </row>
    <row r="1010" customFormat="false" ht="15" hidden="false" customHeight="false" outlineLevel="0" collapsed="false">
      <c r="A1010" s="25" t="n">
        <v>46250</v>
      </c>
      <c r="B1010" s="26" t="s">
        <v>17</v>
      </c>
      <c r="C1010" s="26" t="s">
        <v>73</v>
      </c>
      <c r="D1010" s="26" t="s">
        <v>26</v>
      </c>
      <c r="E1010" s="26" t="n">
        <v>59</v>
      </c>
    </row>
    <row r="1011" customFormat="false" ht="15" hidden="false" customHeight="false" outlineLevel="0" collapsed="false">
      <c r="A1011" s="25" t="n">
        <v>46250</v>
      </c>
      <c r="B1011" s="26" t="s">
        <v>17</v>
      </c>
      <c r="C1011" s="26" t="s">
        <v>73</v>
      </c>
      <c r="D1011" s="26" t="s">
        <v>27</v>
      </c>
      <c r="E1011" s="26" t="n">
        <v>21</v>
      </c>
    </row>
    <row r="1012" customFormat="false" ht="15" hidden="false" customHeight="false" outlineLevel="0" collapsed="false">
      <c r="A1012" s="25" t="n">
        <v>46250</v>
      </c>
      <c r="B1012" s="26" t="s">
        <v>17</v>
      </c>
      <c r="C1012" s="26" t="s">
        <v>73</v>
      </c>
      <c r="D1012" s="26" t="s">
        <v>31</v>
      </c>
      <c r="E1012" s="26" t="n">
        <v>38</v>
      </c>
    </row>
    <row r="1013" customFormat="false" ht="15" hidden="false" customHeight="false" outlineLevel="0" collapsed="false">
      <c r="A1013" s="25" t="n">
        <v>46250</v>
      </c>
      <c r="B1013" s="26" t="s">
        <v>17</v>
      </c>
      <c r="C1013" s="26" t="s">
        <v>73</v>
      </c>
      <c r="D1013" s="26" t="s">
        <v>26</v>
      </c>
      <c r="E1013" s="26" t="n">
        <v>80</v>
      </c>
    </row>
    <row r="1014" customFormat="false" ht="15" hidden="false" customHeight="false" outlineLevel="0" collapsed="false">
      <c r="A1014" s="25" t="n">
        <v>46250</v>
      </c>
      <c r="B1014" s="26" t="s">
        <v>18</v>
      </c>
      <c r="C1014" s="26" t="s">
        <v>72</v>
      </c>
      <c r="D1014" s="26" t="s">
        <v>26</v>
      </c>
      <c r="E1014" s="26" t="n">
        <v>34</v>
      </c>
    </row>
    <row r="1015" customFormat="false" ht="15" hidden="false" customHeight="false" outlineLevel="0" collapsed="false">
      <c r="A1015" s="25" t="n">
        <v>46250</v>
      </c>
      <c r="B1015" s="26" t="s">
        <v>18</v>
      </c>
      <c r="C1015" s="26" t="s">
        <v>73</v>
      </c>
      <c r="D1015" s="26" t="s">
        <v>28</v>
      </c>
      <c r="E1015" s="26" t="n">
        <v>13</v>
      </c>
    </row>
    <row r="1016" customFormat="false" ht="15" hidden="false" customHeight="false" outlineLevel="0" collapsed="false">
      <c r="A1016" s="25" t="n">
        <v>46250</v>
      </c>
      <c r="B1016" s="26" t="s">
        <v>18</v>
      </c>
      <c r="C1016" s="26" t="s">
        <v>73</v>
      </c>
      <c r="D1016" s="26" t="s">
        <v>27</v>
      </c>
      <c r="E1016" s="26" t="n">
        <v>34</v>
      </c>
    </row>
    <row r="1017" customFormat="false" ht="15" hidden="false" customHeight="false" outlineLevel="0" collapsed="false">
      <c r="A1017" s="25" t="n">
        <v>46250</v>
      </c>
      <c r="B1017" s="26" t="s">
        <v>18</v>
      </c>
      <c r="C1017" s="26" t="s">
        <v>74</v>
      </c>
      <c r="D1017" s="26" t="s">
        <v>31</v>
      </c>
      <c r="E1017" s="26" t="n">
        <v>29</v>
      </c>
    </row>
    <row r="1018" customFormat="false" ht="15" hidden="false" customHeight="false" outlineLevel="0" collapsed="false">
      <c r="A1018" s="25" t="n">
        <v>46251</v>
      </c>
      <c r="B1018" s="26" t="s">
        <v>16</v>
      </c>
      <c r="C1018" s="26" t="s">
        <v>72</v>
      </c>
      <c r="D1018" s="26" t="s">
        <v>29</v>
      </c>
      <c r="E1018" s="26" t="n">
        <v>17</v>
      </c>
    </row>
    <row r="1019" customFormat="false" ht="15" hidden="false" customHeight="false" outlineLevel="0" collapsed="false">
      <c r="A1019" s="25" t="n">
        <v>46251</v>
      </c>
      <c r="B1019" s="26" t="s">
        <v>16</v>
      </c>
      <c r="C1019" s="26" t="s">
        <v>72</v>
      </c>
      <c r="D1019" s="26" t="s">
        <v>28</v>
      </c>
      <c r="E1019" s="26" t="n">
        <v>38</v>
      </c>
    </row>
    <row r="1020" customFormat="false" ht="15" hidden="false" customHeight="false" outlineLevel="0" collapsed="false">
      <c r="A1020" s="25" t="n">
        <v>46251</v>
      </c>
      <c r="B1020" s="26" t="s">
        <v>16</v>
      </c>
      <c r="C1020" s="26" t="s">
        <v>73</v>
      </c>
      <c r="D1020" s="26" t="s">
        <v>26</v>
      </c>
      <c r="E1020" s="26" t="n">
        <v>41</v>
      </c>
    </row>
    <row r="1021" customFormat="false" ht="15" hidden="false" customHeight="false" outlineLevel="0" collapsed="false">
      <c r="A1021" s="25" t="n">
        <v>46251</v>
      </c>
      <c r="B1021" s="26" t="s">
        <v>16</v>
      </c>
      <c r="C1021" s="26" t="s">
        <v>73</v>
      </c>
      <c r="D1021" s="26" t="s">
        <v>27</v>
      </c>
      <c r="E1021" s="26" t="n">
        <v>31</v>
      </c>
    </row>
    <row r="1022" customFormat="false" ht="15" hidden="false" customHeight="false" outlineLevel="0" collapsed="false">
      <c r="A1022" s="25" t="n">
        <v>46251</v>
      </c>
      <c r="B1022" s="26" t="s">
        <v>16</v>
      </c>
      <c r="C1022" s="26" t="s">
        <v>73</v>
      </c>
      <c r="D1022" s="26" t="s">
        <v>27</v>
      </c>
      <c r="E1022" s="26" t="n">
        <v>14</v>
      </c>
    </row>
    <row r="1023" customFormat="false" ht="15" hidden="false" customHeight="false" outlineLevel="0" collapsed="false">
      <c r="A1023" s="25" t="n">
        <v>46251</v>
      </c>
      <c r="B1023" s="26" t="s">
        <v>16</v>
      </c>
      <c r="C1023" s="26" t="s">
        <v>74</v>
      </c>
      <c r="D1023" s="26" t="s">
        <v>26</v>
      </c>
      <c r="E1023" s="26" t="n">
        <v>23</v>
      </c>
    </row>
    <row r="1024" customFormat="false" ht="15" hidden="false" customHeight="false" outlineLevel="0" collapsed="false">
      <c r="A1024" s="25" t="n">
        <v>46251</v>
      </c>
      <c r="B1024" s="26" t="s">
        <v>17</v>
      </c>
      <c r="C1024" s="26" t="s">
        <v>72</v>
      </c>
      <c r="D1024" s="26" t="s">
        <v>28</v>
      </c>
      <c r="E1024" s="26" t="n">
        <v>88</v>
      </c>
    </row>
    <row r="1025" customFormat="false" ht="15" hidden="false" customHeight="false" outlineLevel="0" collapsed="false">
      <c r="A1025" s="25" t="n">
        <v>46251</v>
      </c>
      <c r="B1025" s="26" t="s">
        <v>17</v>
      </c>
      <c r="C1025" s="26" t="s">
        <v>72</v>
      </c>
      <c r="D1025" s="26" t="s">
        <v>26</v>
      </c>
      <c r="E1025" s="26" t="n">
        <v>27</v>
      </c>
    </row>
    <row r="1026" customFormat="false" ht="15" hidden="false" customHeight="false" outlineLevel="0" collapsed="false">
      <c r="A1026" s="25" t="n">
        <v>46251</v>
      </c>
      <c r="B1026" s="26" t="s">
        <v>17</v>
      </c>
      <c r="C1026" s="26" t="s">
        <v>73</v>
      </c>
      <c r="D1026" s="26" t="s">
        <v>28</v>
      </c>
      <c r="E1026" s="26" t="n">
        <v>45</v>
      </c>
    </row>
    <row r="1027" customFormat="false" ht="15" hidden="false" customHeight="false" outlineLevel="0" collapsed="false">
      <c r="A1027" s="25" t="n">
        <v>46251</v>
      </c>
      <c r="B1027" s="26" t="s">
        <v>17</v>
      </c>
      <c r="C1027" s="26" t="s">
        <v>74</v>
      </c>
      <c r="D1027" s="26" t="s">
        <v>26</v>
      </c>
      <c r="E1027" s="26" t="n">
        <v>24</v>
      </c>
    </row>
    <row r="1028" customFormat="false" ht="15" hidden="false" customHeight="false" outlineLevel="0" collapsed="false">
      <c r="A1028" s="25" t="n">
        <v>46251</v>
      </c>
      <c r="B1028" s="26" t="s">
        <v>17</v>
      </c>
      <c r="C1028" s="26" t="s">
        <v>74</v>
      </c>
      <c r="D1028" s="26" t="s">
        <v>27</v>
      </c>
      <c r="E1028" s="26" t="n">
        <v>33</v>
      </c>
    </row>
    <row r="1029" customFormat="false" ht="15" hidden="false" customHeight="false" outlineLevel="0" collapsed="false">
      <c r="A1029" s="25" t="n">
        <v>46251</v>
      </c>
      <c r="B1029" s="26" t="s">
        <v>17</v>
      </c>
      <c r="C1029" s="26" t="s">
        <v>74</v>
      </c>
      <c r="D1029" s="26" t="s">
        <v>32</v>
      </c>
      <c r="E1029" s="26" t="n">
        <v>12</v>
      </c>
    </row>
    <row r="1030" customFormat="false" ht="15" hidden="false" customHeight="false" outlineLevel="0" collapsed="false">
      <c r="A1030" s="25" t="n">
        <v>46251</v>
      </c>
      <c r="B1030" s="26" t="s">
        <v>17</v>
      </c>
      <c r="C1030" s="26" t="s">
        <v>74</v>
      </c>
      <c r="D1030" s="26" t="s">
        <v>28</v>
      </c>
      <c r="E1030" s="26" t="n">
        <v>40</v>
      </c>
    </row>
    <row r="1031" customFormat="false" ht="15" hidden="false" customHeight="false" outlineLevel="0" collapsed="false">
      <c r="A1031" s="25" t="n">
        <v>46251</v>
      </c>
      <c r="B1031" s="26" t="s">
        <v>18</v>
      </c>
      <c r="C1031" s="26" t="s">
        <v>72</v>
      </c>
      <c r="D1031" s="26" t="s">
        <v>26</v>
      </c>
      <c r="E1031" s="26" t="n">
        <v>61</v>
      </c>
    </row>
    <row r="1032" customFormat="false" ht="15" hidden="false" customHeight="false" outlineLevel="0" collapsed="false">
      <c r="A1032" s="25" t="n">
        <v>46251</v>
      </c>
      <c r="B1032" s="26" t="s">
        <v>18</v>
      </c>
      <c r="C1032" s="26" t="s">
        <v>72</v>
      </c>
      <c r="D1032" s="26" t="s">
        <v>27</v>
      </c>
      <c r="E1032" s="26" t="n">
        <v>33</v>
      </c>
    </row>
    <row r="1033" customFormat="false" ht="15" hidden="false" customHeight="false" outlineLevel="0" collapsed="false">
      <c r="A1033" s="25" t="n">
        <v>46251</v>
      </c>
      <c r="B1033" s="26" t="s">
        <v>18</v>
      </c>
      <c r="C1033" s="26" t="s">
        <v>73</v>
      </c>
      <c r="D1033" s="26" t="s">
        <v>28</v>
      </c>
      <c r="E1033" s="26" t="n">
        <v>44</v>
      </c>
    </row>
    <row r="1034" customFormat="false" ht="15" hidden="false" customHeight="false" outlineLevel="0" collapsed="false">
      <c r="A1034" s="25" t="n">
        <v>46251</v>
      </c>
      <c r="B1034" s="26" t="s">
        <v>18</v>
      </c>
      <c r="C1034" s="26" t="s">
        <v>74</v>
      </c>
      <c r="D1034" s="26" t="s">
        <v>29</v>
      </c>
      <c r="E1034" s="26" t="n">
        <v>11</v>
      </c>
    </row>
    <row r="1035" customFormat="false" ht="15" hidden="false" customHeight="false" outlineLevel="0" collapsed="false">
      <c r="A1035" s="25" t="n">
        <v>46252</v>
      </c>
      <c r="B1035" s="26" t="s">
        <v>16</v>
      </c>
      <c r="C1035" s="26" t="s">
        <v>72</v>
      </c>
      <c r="D1035" s="26" t="s">
        <v>28</v>
      </c>
      <c r="E1035" s="26" t="n">
        <v>51</v>
      </c>
    </row>
    <row r="1036" customFormat="false" ht="15" hidden="false" customHeight="false" outlineLevel="0" collapsed="false">
      <c r="A1036" s="25" t="n">
        <v>46252</v>
      </c>
      <c r="B1036" s="26" t="s">
        <v>16</v>
      </c>
      <c r="C1036" s="26" t="s">
        <v>72</v>
      </c>
      <c r="D1036" s="26" t="s">
        <v>29</v>
      </c>
      <c r="E1036" s="26" t="n">
        <v>42</v>
      </c>
    </row>
    <row r="1037" customFormat="false" ht="15" hidden="false" customHeight="false" outlineLevel="0" collapsed="false">
      <c r="A1037" s="25" t="n">
        <v>46252</v>
      </c>
      <c r="B1037" s="26" t="s">
        <v>16</v>
      </c>
      <c r="C1037" s="26" t="s">
        <v>72</v>
      </c>
      <c r="D1037" s="26" t="s">
        <v>31</v>
      </c>
      <c r="E1037" s="26" t="n">
        <v>43</v>
      </c>
    </row>
    <row r="1038" customFormat="false" ht="15" hidden="false" customHeight="false" outlineLevel="0" collapsed="false">
      <c r="A1038" s="25" t="n">
        <v>46252</v>
      </c>
      <c r="B1038" s="26" t="s">
        <v>16</v>
      </c>
      <c r="C1038" s="26" t="s">
        <v>72</v>
      </c>
      <c r="D1038" s="26" t="s">
        <v>27</v>
      </c>
      <c r="E1038" s="26" t="n">
        <v>83</v>
      </c>
    </row>
    <row r="1039" customFormat="false" ht="15" hidden="false" customHeight="false" outlineLevel="0" collapsed="false">
      <c r="A1039" s="25" t="n">
        <v>46252</v>
      </c>
      <c r="B1039" s="26" t="s">
        <v>16</v>
      </c>
      <c r="C1039" s="26" t="s">
        <v>73</v>
      </c>
      <c r="D1039" s="26" t="s">
        <v>26</v>
      </c>
      <c r="E1039" s="26" t="n">
        <v>90</v>
      </c>
    </row>
    <row r="1040" customFormat="false" ht="15" hidden="false" customHeight="false" outlineLevel="0" collapsed="false">
      <c r="A1040" s="25" t="n">
        <v>46252</v>
      </c>
      <c r="B1040" s="26" t="s">
        <v>16</v>
      </c>
      <c r="C1040" s="26" t="s">
        <v>73</v>
      </c>
      <c r="D1040" s="26" t="s">
        <v>29</v>
      </c>
      <c r="E1040" s="26" t="n">
        <v>17</v>
      </c>
    </row>
    <row r="1041" customFormat="false" ht="15" hidden="false" customHeight="false" outlineLevel="0" collapsed="false">
      <c r="A1041" s="25" t="n">
        <v>46252</v>
      </c>
      <c r="B1041" s="26" t="s">
        <v>16</v>
      </c>
      <c r="C1041" s="26" t="s">
        <v>73</v>
      </c>
      <c r="D1041" s="26" t="s">
        <v>31</v>
      </c>
      <c r="E1041" s="26" t="n">
        <v>41</v>
      </c>
    </row>
    <row r="1042" customFormat="false" ht="15" hidden="false" customHeight="false" outlineLevel="0" collapsed="false">
      <c r="A1042" s="25" t="n">
        <v>46252</v>
      </c>
      <c r="B1042" s="26" t="s">
        <v>16</v>
      </c>
      <c r="C1042" s="26" t="s">
        <v>73</v>
      </c>
      <c r="D1042" s="26" t="s">
        <v>29</v>
      </c>
      <c r="E1042" s="26" t="n">
        <v>54</v>
      </c>
    </row>
    <row r="1043" customFormat="false" ht="15" hidden="false" customHeight="false" outlineLevel="0" collapsed="false">
      <c r="A1043" s="25" t="n">
        <v>46252</v>
      </c>
      <c r="B1043" s="26" t="s">
        <v>16</v>
      </c>
      <c r="C1043" s="26" t="s">
        <v>74</v>
      </c>
      <c r="D1043" s="26" t="s">
        <v>26</v>
      </c>
      <c r="E1043" s="26" t="n">
        <v>28</v>
      </c>
    </row>
    <row r="1044" customFormat="false" ht="15" hidden="false" customHeight="false" outlineLevel="0" collapsed="false">
      <c r="A1044" s="25" t="n">
        <v>46252</v>
      </c>
      <c r="B1044" s="26" t="s">
        <v>16</v>
      </c>
      <c r="C1044" s="26" t="s">
        <v>74</v>
      </c>
      <c r="D1044" s="26" t="s">
        <v>28</v>
      </c>
      <c r="E1044" s="26" t="n">
        <v>18</v>
      </c>
    </row>
    <row r="1045" customFormat="false" ht="15" hidden="false" customHeight="false" outlineLevel="0" collapsed="false">
      <c r="A1045" s="25" t="n">
        <v>46252</v>
      </c>
      <c r="B1045" s="26" t="s">
        <v>16</v>
      </c>
      <c r="C1045" s="26" t="s">
        <v>74</v>
      </c>
      <c r="D1045" s="26" t="s">
        <v>30</v>
      </c>
      <c r="E1045" s="26" t="n">
        <v>76</v>
      </c>
    </row>
    <row r="1046" customFormat="false" ht="15" hidden="false" customHeight="false" outlineLevel="0" collapsed="false">
      <c r="A1046" s="25" t="n">
        <v>46252</v>
      </c>
      <c r="B1046" s="26" t="s">
        <v>16</v>
      </c>
      <c r="C1046" s="26" t="s">
        <v>74</v>
      </c>
      <c r="D1046" s="26" t="s">
        <v>31</v>
      </c>
      <c r="E1046" s="26" t="n">
        <v>55</v>
      </c>
    </row>
    <row r="1047" customFormat="false" ht="15" hidden="false" customHeight="false" outlineLevel="0" collapsed="false">
      <c r="A1047" s="25" t="n">
        <v>46252</v>
      </c>
      <c r="B1047" s="26" t="s">
        <v>17</v>
      </c>
      <c r="C1047" s="26" t="s">
        <v>72</v>
      </c>
      <c r="D1047" s="26" t="s">
        <v>28</v>
      </c>
      <c r="E1047" s="26" t="n">
        <v>58</v>
      </c>
    </row>
    <row r="1048" customFormat="false" ht="15" hidden="false" customHeight="false" outlineLevel="0" collapsed="false">
      <c r="A1048" s="25" t="n">
        <v>46252</v>
      </c>
      <c r="B1048" s="26" t="s">
        <v>17</v>
      </c>
      <c r="C1048" s="26" t="s">
        <v>72</v>
      </c>
      <c r="D1048" s="26" t="s">
        <v>29</v>
      </c>
      <c r="E1048" s="26" t="n">
        <v>10</v>
      </c>
    </row>
    <row r="1049" customFormat="false" ht="15" hidden="false" customHeight="false" outlineLevel="0" collapsed="false">
      <c r="A1049" s="25" t="n">
        <v>46252</v>
      </c>
      <c r="B1049" s="26" t="s">
        <v>17</v>
      </c>
      <c r="C1049" s="26" t="s">
        <v>72</v>
      </c>
      <c r="D1049" s="26" t="s">
        <v>28</v>
      </c>
      <c r="E1049" s="26" t="n">
        <v>23</v>
      </c>
    </row>
    <row r="1050" customFormat="false" ht="15" hidden="false" customHeight="false" outlineLevel="0" collapsed="false">
      <c r="A1050" s="25" t="n">
        <v>46252</v>
      </c>
      <c r="B1050" s="26" t="s">
        <v>17</v>
      </c>
      <c r="C1050" s="26" t="s">
        <v>72</v>
      </c>
      <c r="D1050" s="26" t="s">
        <v>29</v>
      </c>
      <c r="E1050" s="26" t="n">
        <v>29</v>
      </c>
    </row>
    <row r="1051" customFormat="false" ht="15" hidden="false" customHeight="false" outlineLevel="0" collapsed="false">
      <c r="A1051" s="25" t="n">
        <v>46252</v>
      </c>
      <c r="B1051" s="26" t="s">
        <v>17</v>
      </c>
      <c r="C1051" s="26" t="s">
        <v>72</v>
      </c>
      <c r="D1051" s="26" t="s">
        <v>26</v>
      </c>
      <c r="E1051" s="26" t="n">
        <v>38</v>
      </c>
    </row>
    <row r="1052" customFormat="false" ht="15" hidden="false" customHeight="false" outlineLevel="0" collapsed="false">
      <c r="A1052" s="25" t="n">
        <v>46252</v>
      </c>
      <c r="B1052" s="26" t="s">
        <v>17</v>
      </c>
      <c r="C1052" s="26" t="s">
        <v>73</v>
      </c>
      <c r="D1052" s="26" t="s">
        <v>30</v>
      </c>
      <c r="E1052" s="26" t="n">
        <v>37</v>
      </c>
    </row>
    <row r="1053" customFormat="false" ht="15" hidden="false" customHeight="false" outlineLevel="0" collapsed="false">
      <c r="A1053" s="25" t="n">
        <v>46252</v>
      </c>
      <c r="B1053" s="26" t="s">
        <v>17</v>
      </c>
      <c r="C1053" s="26" t="s">
        <v>73</v>
      </c>
      <c r="D1053" s="26" t="s">
        <v>26</v>
      </c>
      <c r="E1053" s="26" t="n">
        <v>11</v>
      </c>
    </row>
    <row r="1054" customFormat="false" ht="15" hidden="false" customHeight="false" outlineLevel="0" collapsed="false">
      <c r="A1054" s="25" t="n">
        <v>46252</v>
      </c>
      <c r="B1054" s="26" t="s">
        <v>17</v>
      </c>
      <c r="C1054" s="26" t="s">
        <v>73</v>
      </c>
      <c r="D1054" s="26" t="s">
        <v>27</v>
      </c>
      <c r="E1054" s="26" t="n">
        <v>78</v>
      </c>
    </row>
    <row r="1055" customFormat="false" ht="15" hidden="false" customHeight="false" outlineLevel="0" collapsed="false">
      <c r="A1055" s="25" t="n">
        <v>46252</v>
      </c>
      <c r="B1055" s="26" t="s">
        <v>17</v>
      </c>
      <c r="C1055" s="26" t="s">
        <v>73</v>
      </c>
      <c r="D1055" s="26" t="s">
        <v>27</v>
      </c>
      <c r="E1055" s="26" t="n">
        <v>57</v>
      </c>
    </row>
    <row r="1056" customFormat="false" ht="15" hidden="false" customHeight="false" outlineLevel="0" collapsed="false">
      <c r="A1056" s="25" t="n">
        <v>46252</v>
      </c>
      <c r="B1056" s="26" t="s">
        <v>17</v>
      </c>
      <c r="C1056" s="26" t="s">
        <v>74</v>
      </c>
      <c r="D1056" s="26" t="s">
        <v>31</v>
      </c>
      <c r="E1056" s="26" t="n">
        <v>72</v>
      </c>
    </row>
    <row r="1057" customFormat="false" ht="15" hidden="false" customHeight="false" outlineLevel="0" collapsed="false">
      <c r="A1057" s="25" t="n">
        <v>46252</v>
      </c>
      <c r="B1057" s="26" t="s">
        <v>17</v>
      </c>
      <c r="C1057" s="26" t="s">
        <v>74</v>
      </c>
      <c r="D1057" s="26" t="s">
        <v>26</v>
      </c>
      <c r="E1057" s="26" t="n">
        <v>32</v>
      </c>
    </row>
    <row r="1058" customFormat="false" ht="15" hidden="false" customHeight="false" outlineLevel="0" collapsed="false">
      <c r="A1058" s="25" t="n">
        <v>46252</v>
      </c>
      <c r="B1058" s="26" t="s">
        <v>17</v>
      </c>
      <c r="C1058" s="26" t="s">
        <v>74</v>
      </c>
      <c r="D1058" s="26" t="s">
        <v>26</v>
      </c>
      <c r="E1058" s="26" t="n">
        <v>26</v>
      </c>
    </row>
    <row r="1059" customFormat="false" ht="15" hidden="false" customHeight="false" outlineLevel="0" collapsed="false">
      <c r="A1059" s="25" t="n">
        <v>46252</v>
      </c>
      <c r="B1059" s="26" t="s">
        <v>17</v>
      </c>
      <c r="C1059" s="26" t="s">
        <v>74</v>
      </c>
      <c r="D1059" s="26" t="s">
        <v>28</v>
      </c>
      <c r="E1059" s="26" t="n">
        <v>8</v>
      </c>
    </row>
    <row r="1060" customFormat="false" ht="15" hidden="false" customHeight="false" outlineLevel="0" collapsed="false">
      <c r="A1060" s="25" t="n">
        <v>46252</v>
      </c>
      <c r="B1060" s="26" t="s">
        <v>17</v>
      </c>
      <c r="C1060" s="26" t="s">
        <v>74</v>
      </c>
      <c r="D1060" s="26" t="s">
        <v>30</v>
      </c>
      <c r="E1060" s="26" t="n">
        <v>25</v>
      </c>
    </row>
    <row r="1061" customFormat="false" ht="15" hidden="false" customHeight="false" outlineLevel="0" collapsed="false">
      <c r="A1061" s="25" t="n">
        <v>46252</v>
      </c>
      <c r="B1061" s="26" t="s">
        <v>17</v>
      </c>
      <c r="C1061" s="26" t="s">
        <v>74</v>
      </c>
      <c r="D1061" s="26" t="s">
        <v>26</v>
      </c>
      <c r="E1061" s="26" t="n">
        <v>40</v>
      </c>
    </row>
    <row r="1062" customFormat="false" ht="15" hidden="false" customHeight="false" outlineLevel="0" collapsed="false">
      <c r="A1062" s="25" t="n">
        <v>46252</v>
      </c>
      <c r="B1062" s="26" t="s">
        <v>18</v>
      </c>
      <c r="C1062" s="26" t="s">
        <v>72</v>
      </c>
      <c r="D1062" s="26" t="s">
        <v>30</v>
      </c>
      <c r="E1062" s="26" t="n">
        <v>42</v>
      </c>
    </row>
    <row r="1063" customFormat="false" ht="15" hidden="false" customHeight="false" outlineLevel="0" collapsed="false">
      <c r="A1063" s="25" t="n">
        <v>46252</v>
      </c>
      <c r="B1063" s="26" t="s">
        <v>18</v>
      </c>
      <c r="C1063" s="26" t="s">
        <v>72</v>
      </c>
      <c r="D1063" s="26" t="s">
        <v>30</v>
      </c>
      <c r="E1063" s="26" t="n">
        <v>23</v>
      </c>
    </row>
    <row r="1064" customFormat="false" ht="15" hidden="false" customHeight="false" outlineLevel="0" collapsed="false">
      <c r="A1064" s="25" t="n">
        <v>46252</v>
      </c>
      <c r="B1064" s="26" t="s">
        <v>18</v>
      </c>
      <c r="C1064" s="26" t="s">
        <v>73</v>
      </c>
      <c r="D1064" s="26" t="s">
        <v>27</v>
      </c>
      <c r="E1064" s="26" t="n">
        <v>5</v>
      </c>
    </row>
    <row r="1065" customFormat="false" ht="15" hidden="false" customHeight="false" outlineLevel="0" collapsed="false">
      <c r="A1065" s="25" t="n">
        <v>46252</v>
      </c>
      <c r="B1065" s="26" t="s">
        <v>18</v>
      </c>
      <c r="C1065" s="26" t="s">
        <v>73</v>
      </c>
      <c r="D1065" s="26" t="s">
        <v>29</v>
      </c>
      <c r="E1065" s="26" t="n">
        <v>29</v>
      </c>
    </row>
    <row r="1066" customFormat="false" ht="15" hidden="false" customHeight="false" outlineLevel="0" collapsed="false">
      <c r="A1066" s="25" t="n">
        <v>46252</v>
      </c>
      <c r="B1066" s="26" t="s">
        <v>18</v>
      </c>
      <c r="C1066" s="26" t="s">
        <v>73</v>
      </c>
      <c r="D1066" s="26" t="s">
        <v>27</v>
      </c>
      <c r="E1066" s="26" t="n">
        <v>15</v>
      </c>
    </row>
    <row r="1067" customFormat="false" ht="15" hidden="false" customHeight="false" outlineLevel="0" collapsed="false">
      <c r="A1067" s="25" t="n">
        <v>46252</v>
      </c>
      <c r="B1067" s="26" t="s">
        <v>18</v>
      </c>
      <c r="C1067" s="26" t="s">
        <v>73</v>
      </c>
      <c r="D1067" s="26" t="s">
        <v>26</v>
      </c>
      <c r="E1067" s="26" t="n">
        <v>12</v>
      </c>
    </row>
    <row r="1068" customFormat="false" ht="15" hidden="false" customHeight="false" outlineLevel="0" collapsed="false">
      <c r="A1068" s="25" t="n">
        <v>46253</v>
      </c>
      <c r="B1068" s="26" t="s">
        <v>16</v>
      </c>
      <c r="C1068" s="26" t="s">
        <v>73</v>
      </c>
      <c r="D1068" s="26" t="s">
        <v>27</v>
      </c>
      <c r="E1068" s="26" t="n">
        <v>17</v>
      </c>
    </row>
    <row r="1069" customFormat="false" ht="15" hidden="false" customHeight="false" outlineLevel="0" collapsed="false">
      <c r="A1069" s="25" t="n">
        <v>46253</v>
      </c>
      <c r="B1069" s="26" t="s">
        <v>16</v>
      </c>
      <c r="C1069" s="26" t="s">
        <v>73</v>
      </c>
      <c r="D1069" s="26" t="s">
        <v>27</v>
      </c>
      <c r="E1069" s="26" t="n">
        <v>39</v>
      </c>
    </row>
    <row r="1070" customFormat="false" ht="15" hidden="false" customHeight="false" outlineLevel="0" collapsed="false">
      <c r="A1070" s="25" t="n">
        <v>46253</v>
      </c>
      <c r="B1070" s="26" t="s">
        <v>16</v>
      </c>
      <c r="C1070" s="26" t="s">
        <v>73</v>
      </c>
      <c r="D1070" s="26" t="s">
        <v>30</v>
      </c>
      <c r="E1070" s="26" t="n">
        <v>27</v>
      </c>
    </row>
    <row r="1071" customFormat="false" ht="15" hidden="false" customHeight="false" outlineLevel="0" collapsed="false">
      <c r="A1071" s="25" t="n">
        <v>46253</v>
      </c>
      <c r="B1071" s="26" t="s">
        <v>16</v>
      </c>
      <c r="C1071" s="26" t="s">
        <v>74</v>
      </c>
      <c r="D1071" s="26" t="s">
        <v>28</v>
      </c>
      <c r="E1071" s="26" t="n">
        <v>120</v>
      </c>
    </row>
    <row r="1072" customFormat="false" ht="15" hidden="false" customHeight="false" outlineLevel="0" collapsed="false">
      <c r="A1072" s="25" t="n">
        <v>46253</v>
      </c>
      <c r="B1072" s="26" t="s">
        <v>17</v>
      </c>
      <c r="C1072" s="26" t="s">
        <v>72</v>
      </c>
      <c r="D1072" s="26" t="s">
        <v>26</v>
      </c>
      <c r="E1072" s="26" t="n">
        <v>41</v>
      </c>
    </row>
    <row r="1073" customFormat="false" ht="15" hidden="false" customHeight="false" outlineLevel="0" collapsed="false">
      <c r="A1073" s="25" t="n">
        <v>46253</v>
      </c>
      <c r="B1073" s="26" t="s">
        <v>17</v>
      </c>
      <c r="C1073" s="26" t="s">
        <v>72</v>
      </c>
      <c r="D1073" s="26" t="s">
        <v>26</v>
      </c>
      <c r="E1073" s="26" t="n">
        <v>81</v>
      </c>
    </row>
    <row r="1074" customFormat="false" ht="15" hidden="false" customHeight="false" outlineLevel="0" collapsed="false">
      <c r="A1074" s="25" t="n">
        <v>46253</v>
      </c>
      <c r="B1074" s="26" t="s">
        <v>17</v>
      </c>
      <c r="C1074" s="26" t="s">
        <v>73</v>
      </c>
      <c r="D1074" s="26" t="s">
        <v>29</v>
      </c>
      <c r="E1074" s="26" t="n">
        <v>24</v>
      </c>
    </row>
    <row r="1075" customFormat="false" ht="15" hidden="false" customHeight="false" outlineLevel="0" collapsed="false">
      <c r="A1075" s="25" t="n">
        <v>46253</v>
      </c>
      <c r="B1075" s="26" t="s">
        <v>17</v>
      </c>
      <c r="C1075" s="26" t="s">
        <v>74</v>
      </c>
      <c r="D1075" s="26" t="s">
        <v>27</v>
      </c>
      <c r="E1075" s="26" t="n">
        <v>18</v>
      </c>
    </row>
    <row r="1076" customFormat="false" ht="15" hidden="false" customHeight="false" outlineLevel="0" collapsed="false">
      <c r="A1076" s="25" t="n">
        <v>46253</v>
      </c>
      <c r="B1076" s="26" t="s">
        <v>17</v>
      </c>
      <c r="C1076" s="26" t="s">
        <v>74</v>
      </c>
      <c r="D1076" s="26" t="s">
        <v>29</v>
      </c>
      <c r="E1076" s="26" t="n">
        <v>5</v>
      </c>
    </row>
    <row r="1077" customFormat="false" ht="15" hidden="false" customHeight="false" outlineLevel="0" collapsed="false">
      <c r="A1077" s="25" t="n">
        <v>46253</v>
      </c>
      <c r="B1077" s="26" t="s">
        <v>17</v>
      </c>
      <c r="C1077" s="26" t="s">
        <v>74</v>
      </c>
      <c r="D1077" s="26" t="s">
        <v>32</v>
      </c>
      <c r="E1077" s="26" t="n">
        <v>5</v>
      </c>
    </row>
    <row r="1078" customFormat="false" ht="15" hidden="false" customHeight="false" outlineLevel="0" collapsed="false">
      <c r="A1078" s="25" t="n">
        <v>46253</v>
      </c>
      <c r="B1078" s="26" t="s">
        <v>17</v>
      </c>
      <c r="C1078" s="26" t="s">
        <v>74</v>
      </c>
      <c r="D1078" s="26" t="s">
        <v>26</v>
      </c>
      <c r="E1078" s="26" t="n">
        <v>26</v>
      </c>
    </row>
    <row r="1079" customFormat="false" ht="15" hidden="false" customHeight="false" outlineLevel="0" collapsed="false">
      <c r="A1079" s="25" t="n">
        <v>46253</v>
      </c>
      <c r="B1079" s="26" t="s">
        <v>18</v>
      </c>
      <c r="C1079" s="26" t="s">
        <v>73</v>
      </c>
      <c r="D1079" s="26" t="s">
        <v>30</v>
      </c>
      <c r="E1079" s="26" t="n">
        <v>27</v>
      </c>
    </row>
    <row r="1080" customFormat="false" ht="15" hidden="false" customHeight="false" outlineLevel="0" collapsed="false">
      <c r="A1080" s="25" t="n">
        <v>46253</v>
      </c>
      <c r="B1080" s="26" t="s">
        <v>18</v>
      </c>
      <c r="C1080" s="26" t="s">
        <v>73</v>
      </c>
      <c r="D1080" s="26" t="s">
        <v>29</v>
      </c>
      <c r="E1080" s="26" t="n">
        <v>25</v>
      </c>
    </row>
    <row r="1081" customFormat="false" ht="15" hidden="false" customHeight="false" outlineLevel="0" collapsed="false">
      <c r="A1081" s="25" t="n">
        <v>46253</v>
      </c>
      <c r="B1081" s="26" t="s">
        <v>18</v>
      </c>
      <c r="C1081" s="26" t="s">
        <v>73</v>
      </c>
      <c r="D1081" s="26" t="s">
        <v>28</v>
      </c>
      <c r="E1081" s="26" t="n">
        <v>33</v>
      </c>
    </row>
    <row r="1082" customFormat="false" ht="15" hidden="false" customHeight="false" outlineLevel="0" collapsed="false">
      <c r="A1082" s="25" t="n">
        <v>46254</v>
      </c>
      <c r="B1082" s="26" t="s">
        <v>16</v>
      </c>
      <c r="C1082" s="26" t="s">
        <v>72</v>
      </c>
      <c r="D1082" s="26" t="s">
        <v>29</v>
      </c>
      <c r="E1082" s="26" t="n">
        <v>41</v>
      </c>
    </row>
    <row r="1083" customFormat="false" ht="15" hidden="false" customHeight="false" outlineLevel="0" collapsed="false">
      <c r="A1083" s="25" t="n">
        <v>46254</v>
      </c>
      <c r="B1083" s="26" t="s">
        <v>16</v>
      </c>
      <c r="C1083" s="26" t="s">
        <v>73</v>
      </c>
      <c r="D1083" s="26" t="s">
        <v>26</v>
      </c>
      <c r="E1083" s="26" t="n">
        <v>50</v>
      </c>
    </row>
    <row r="1084" customFormat="false" ht="15" hidden="false" customHeight="false" outlineLevel="0" collapsed="false">
      <c r="A1084" s="25" t="n">
        <v>46254</v>
      </c>
      <c r="B1084" s="26" t="s">
        <v>16</v>
      </c>
      <c r="C1084" s="26" t="s">
        <v>74</v>
      </c>
      <c r="D1084" s="26" t="s">
        <v>26</v>
      </c>
      <c r="E1084" s="26" t="n">
        <v>28</v>
      </c>
    </row>
    <row r="1085" customFormat="false" ht="15" hidden="false" customHeight="false" outlineLevel="0" collapsed="false">
      <c r="A1085" s="25" t="n">
        <v>46254</v>
      </c>
      <c r="B1085" s="26" t="s">
        <v>17</v>
      </c>
      <c r="C1085" s="26" t="s">
        <v>72</v>
      </c>
      <c r="D1085" s="26" t="s">
        <v>26</v>
      </c>
      <c r="E1085" s="26" t="n">
        <v>18</v>
      </c>
    </row>
    <row r="1086" customFormat="false" ht="15" hidden="false" customHeight="false" outlineLevel="0" collapsed="false">
      <c r="A1086" s="25" t="n">
        <v>46254</v>
      </c>
      <c r="B1086" s="26" t="s">
        <v>17</v>
      </c>
      <c r="C1086" s="26" t="s">
        <v>72</v>
      </c>
      <c r="D1086" s="26" t="s">
        <v>26</v>
      </c>
      <c r="E1086" s="26" t="n">
        <v>74</v>
      </c>
    </row>
    <row r="1087" customFormat="false" ht="15" hidden="false" customHeight="false" outlineLevel="0" collapsed="false">
      <c r="A1087" s="25" t="n">
        <v>46254</v>
      </c>
      <c r="B1087" s="26" t="s">
        <v>17</v>
      </c>
      <c r="C1087" s="26" t="s">
        <v>73</v>
      </c>
      <c r="D1087" s="26" t="s">
        <v>29</v>
      </c>
      <c r="E1087" s="26" t="n">
        <v>15</v>
      </c>
    </row>
    <row r="1088" customFormat="false" ht="15" hidden="false" customHeight="false" outlineLevel="0" collapsed="false">
      <c r="A1088" s="25" t="n">
        <v>46254</v>
      </c>
      <c r="B1088" s="26" t="s">
        <v>17</v>
      </c>
      <c r="C1088" s="26" t="s">
        <v>73</v>
      </c>
      <c r="D1088" s="26" t="s">
        <v>26</v>
      </c>
      <c r="E1088" s="26" t="n">
        <v>20</v>
      </c>
    </row>
    <row r="1089" customFormat="false" ht="15" hidden="false" customHeight="false" outlineLevel="0" collapsed="false">
      <c r="A1089" s="25" t="n">
        <v>46254</v>
      </c>
      <c r="B1089" s="26" t="s">
        <v>17</v>
      </c>
      <c r="C1089" s="26" t="s">
        <v>73</v>
      </c>
      <c r="D1089" s="26" t="s">
        <v>28</v>
      </c>
      <c r="E1089" s="26" t="n">
        <v>83</v>
      </c>
    </row>
    <row r="1090" customFormat="false" ht="15" hidden="false" customHeight="false" outlineLevel="0" collapsed="false">
      <c r="A1090" s="25" t="n">
        <v>46254</v>
      </c>
      <c r="B1090" s="26" t="s">
        <v>17</v>
      </c>
      <c r="C1090" s="26" t="s">
        <v>73</v>
      </c>
      <c r="D1090" s="26" t="s">
        <v>29</v>
      </c>
      <c r="E1090" s="26" t="n">
        <v>16</v>
      </c>
    </row>
    <row r="1091" customFormat="false" ht="15" hidden="false" customHeight="false" outlineLevel="0" collapsed="false">
      <c r="A1091" s="25" t="n">
        <v>46254</v>
      </c>
      <c r="B1091" s="26" t="s">
        <v>18</v>
      </c>
      <c r="C1091" s="26" t="s">
        <v>72</v>
      </c>
      <c r="D1091" s="26" t="s">
        <v>29</v>
      </c>
      <c r="E1091" s="26" t="n">
        <v>13</v>
      </c>
    </row>
    <row r="1092" customFormat="false" ht="15" hidden="false" customHeight="false" outlineLevel="0" collapsed="false">
      <c r="A1092" s="25" t="n">
        <v>46254</v>
      </c>
      <c r="B1092" s="26" t="s">
        <v>18</v>
      </c>
      <c r="C1092" s="26" t="s">
        <v>72</v>
      </c>
      <c r="D1092" s="26" t="s">
        <v>29</v>
      </c>
      <c r="E1092" s="26" t="n">
        <v>9</v>
      </c>
    </row>
    <row r="1093" customFormat="false" ht="15" hidden="false" customHeight="false" outlineLevel="0" collapsed="false">
      <c r="A1093" s="25" t="n">
        <v>46254</v>
      </c>
      <c r="B1093" s="26" t="s">
        <v>18</v>
      </c>
      <c r="C1093" s="26" t="s">
        <v>72</v>
      </c>
      <c r="D1093" s="26" t="s">
        <v>32</v>
      </c>
      <c r="E1093" s="26" t="n">
        <v>15</v>
      </c>
    </row>
    <row r="1094" customFormat="false" ht="15" hidden="false" customHeight="false" outlineLevel="0" collapsed="false">
      <c r="A1094" s="25" t="n">
        <v>46254</v>
      </c>
      <c r="B1094" s="26" t="s">
        <v>18</v>
      </c>
      <c r="C1094" s="26" t="s">
        <v>72</v>
      </c>
      <c r="D1094" s="26" t="s">
        <v>30</v>
      </c>
      <c r="E1094" s="26" t="n">
        <v>34</v>
      </c>
    </row>
    <row r="1095" customFormat="false" ht="15" hidden="false" customHeight="false" outlineLevel="0" collapsed="false">
      <c r="A1095" s="25" t="n">
        <v>46254</v>
      </c>
      <c r="B1095" s="26" t="s">
        <v>18</v>
      </c>
      <c r="C1095" s="26" t="s">
        <v>72</v>
      </c>
      <c r="D1095" s="26" t="s">
        <v>26</v>
      </c>
      <c r="E1095" s="26" t="n">
        <v>26</v>
      </c>
    </row>
    <row r="1096" customFormat="false" ht="15" hidden="false" customHeight="false" outlineLevel="0" collapsed="false">
      <c r="A1096" s="25" t="n">
        <v>46254</v>
      </c>
      <c r="B1096" s="26" t="s">
        <v>18</v>
      </c>
      <c r="C1096" s="26" t="s">
        <v>72</v>
      </c>
      <c r="D1096" s="26" t="s">
        <v>29</v>
      </c>
      <c r="E1096" s="26" t="n">
        <v>8</v>
      </c>
    </row>
    <row r="1097" customFormat="false" ht="15" hidden="false" customHeight="false" outlineLevel="0" collapsed="false">
      <c r="A1097" s="25" t="n">
        <v>46254</v>
      </c>
      <c r="B1097" s="26" t="s">
        <v>18</v>
      </c>
      <c r="C1097" s="26" t="s">
        <v>73</v>
      </c>
      <c r="D1097" s="26" t="s">
        <v>29</v>
      </c>
      <c r="E1097" s="26" t="n">
        <v>43</v>
      </c>
    </row>
    <row r="1098" customFormat="false" ht="15" hidden="false" customHeight="false" outlineLevel="0" collapsed="false">
      <c r="A1098" s="25" t="n">
        <v>46254</v>
      </c>
      <c r="B1098" s="26" t="s">
        <v>18</v>
      </c>
      <c r="C1098" s="26" t="s">
        <v>73</v>
      </c>
      <c r="D1098" s="26" t="s">
        <v>27</v>
      </c>
      <c r="E1098" s="26" t="n">
        <v>19</v>
      </c>
    </row>
    <row r="1099" customFormat="false" ht="15" hidden="false" customHeight="false" outlineLevel="0" collapsed="false">
      <c r="A1099" s="25" t="n">
        <v>46254</v>
      </c>
      <c r="B1099" s="26" t="s">
        <v>18</v>
      </c>
      <c r="C1099" s="26" t="s">
        <v>74</v>
      </c>
      <c r="D1099" s="26" t="s">
        <v>32</v>
      </c>
      <c r="E1099" s="26" t="n">
        <v>15</v>
      </c>
    </row>
    <row r="1100" customFormat="false" ht="15" hidden="false" customHeight="false" outlineLevel="0" collapsed="false">
      <c r="A1100" s="25" t="n">
        <v>46254</v>
      </c>
      <c r="B1100" s="26" t="s">
        <v>18</v>
      </c>
      <c r="C1100" s="26" t="s">
        <v>74</v>
      </c>
      <c r="D1100" s="26" t="s">
        <v>31</v>
      </c>
      <c r="E1100" s="26" t="n">
        <v>40</v>
      </c>
    </row>
    <row r="1101" customFormat="false" ht="15" hidden="false" customHeight="false" outlineLevel="0" collapsed="false">
      <c r="A1101" s="25" t="n">
        <v>46255</v>
      </c>
      <c r="B1101" s="26" t="s">
        <v>16</v>
      </c>
      <c r="C1101" s="26" t="s">
        <v>72</v>
      </c>
      <c r="D1101" s="26" t="s">
        <v>31</v>
      </c>
      <c r="E1101" s="26" t="n">
        <v>30</v>
      </c>
    </row>
    <row r="1102" customFormat="false" ht="15" hidden="false" customHeight="false" outlineLevel="0" collapsed="false">
      <c r="A1102" s="25" t="n">
        <v>46255</v>
      </c>
      <c r="B1102" s="26" t="s">
        <v>16</v>
      </c>
      <c r="C1102" s="26" t="s">
        <v>72</v>
      </c>
      <c r="D1102" s="26" t="s">
        <v>30</v>
      </c>
      <c r="E1102" s="26" t="n">
        <v>22</v>
      </c>
    </row>
    <row r="1103" customFormat="false" ht="15" hidden="false" customHeight="false" outlineLevel="0" collapsed="false">
      <c r="A1103" s="25" t="n">
        <v>46255</v>
      </c>
      <c r="B1103" s="26" t="s">
        <v>16</v>
      </c>
      <c r="C1103" s="26" t="s">
        <v>73</v>
      </c>
      <c r="D1103" s="26" t="s">
        <v>29</v>
      </c>
      <c r="E1103" s="26" t="n">
        <v>25</v>
      </c>
    </row>
    <row r="1104" customFormat="false" ht="15" hidden="false" customHeight="false" outlineLevel="0" collapsed="false">
      <c r="A1104" s="25" t="n">
        <v>46255</v>
      </c>
      <c r="B1104" s="26" t="s">
        <v>16</v>
      </c>
      <c r="C1104" s="26" t="s">
        <v>73</v>
      </c>
      <c r="D1104" s="26" t="s">
        <v>27</v>
      </c>
      <c r="E1104" s="26" t="n">
        <v>44</v>
      </c>
    </row>
    <row r="1105" customFormat="false" ht="15" hidden="false" customHeight="false" outlineLevel="0" collapsed="false">
      <c r="A1105" s="25" t="n">
        <v>46255</v>
      </c>
      <c r="B1105" s="26" t="s">
        <v>16</v>
      </c>
      <c r="C1105" s="26" t="s">
        <v>73</v>
      </c>
      <c r="D1105" s="26" t="s">
        <v>30</v>
      </c>
      <c r="E1105" s="26" t="n">
        <v>18</v>
      </c>
    </row>
    <row r="1106" customFormat="false" ht="15" hidden="false" customHeight="false" outlineLevel="0" collapsed="false">
      <c r="A1106" s="25" t="n">
        <v>46255</v>
      </c>
      <c r="B1106" s="26" t="s">
        <v>16</v>
      </c>
      <c r="C1106" s="26" t="s">
        <v>73</v>
      </c>
      <c r="D1106" s="26" t="s">
        <v>28</v>
      </c>
      <c r="E1106" s="26" t="n">
        <v>58</v>
      </c>
    </row>
    <row r="1107" customFormat="false" ht="15" hidden="false" customHeight="false" outlineLevel="0" collapsed="false">
      <c r="A1107" s="25" t="n">
        <v>46255</v>
      </c>
      <c r="B1107" s="26" t="s">
        <v>17</v>
      </c>
      <c r="C1107" s="26" t="s">
        <v>72</v>
      </c>
      <c r="D1107" s="26" t="s">
        <v>29</v>
      </c>
      <c r="E1107" s="26" t="n">
        <v>23</v>
      </c>
    </row>
    <row r="1108" customFormat="false" ht="15" hidden="false" customHeight="false" outlineLevel="0" collapsed="false">
      <c r="A1108" s="25" t="n">
        <v>46255</v>
      </c>
      <c r="B1108" s="26" t="s">
        <v>17</v>
      </c>
      <c r="C1108" s="26" t="s">
        <v>72</v>
      </c>
      <c r="D1108" s="26" t="s">
        <v>26</v>
      </c>
      <c r="E1108" s="26" t="n">
        <v>31</v>
      </c>
    </row>
    <row r="1109" customFormat="false" ht="15" hidden="false" customHeight="false" outlineLevel="0" collapsed="false">
      <c r="A1109" s="25" t="n">
        <v>46255</v>
      </c>
      <c r="B1109" s="26" t="s">
        <v>17</v>
      </c>
      <c r="C1109" s="26" t="s">
        <v>73</v>
      </c>
      <c r="D1109" s="26" t="s">
        <v>31</v>
      </c>
      <c r="E1109" s="26" t="n">
        <v>38</v>
      </c>
    </row>
    <row r="1110" customFormat="false" ht="15" hidden="false" customHeight="false" outlineLevel="0" collapsed="false">
      <c r="A1110" s="25" t="n">
        <v>46255</v>
      </c>
      <c r="B1110" s="26" t="s">
        <v>17</v>
      </c>
      <c r="C1110" s="26" t="s">
        <v>73</v>
      </c>
      <c r="D1110" s="26" t="s">
        <v>27</v>
      </c>
      <c r="E1110" s="26" t="n">
        <v>27</v>
      </c>
    </row>
    <row r="1111" customFormat="false" ht="15" hidden="false" customHeight="false" outlineLevel="0" collapsed="false">
      <c r="A1111" s="25" t="n">
        <v>46255</v>
      </c>
      <c r="B1111" s="26" t="s">
        <v>17</v>
      </c>
      <c r="C1111" s="26" t="s">
        <v>73</v>
      </c>
      <c r="D1111" s="26" t="s">
        <v>27</v>
      </c>
      <c r="E1111" s="26" t="n">
        <v>39</v>
      </c>
    </row>
    <row r="1112" customFormat="false" ht="15" hidden="false" customHeight="false" outlineLevel="0" collapsed="false">
      <c r="A1112" s="25" t="n">
        <v>46255</v>
      </c>
      <c r="B1112" s="26" t="s">
        <v>17</v>
      </c>
      <c r="C1112" s="26" t="s">
        <v>73</v>
      </c>
      <c r="D1112" s="26" t="s">
        <v>28</v>
      </c>
      <c r="E1112" s="26" t="n">
        <v>36</v>
      </c>
    </row>
    <row r="1113" customFormat="false" ht="15" hidden="false" customHeight="false" outlineLevel="0" collapsed="false">
      <c r="A1113" s="25" t="n">
        <v>46255</v>
      </c>
      <c r="B1113" s="26" t="s">
        <v>17</v>
      </c>
      <c r="C1113" s="26" t="s">
        <v>74</v>
      </c>
      <c r="D1113" s="26" t="s">
        <v>31</v>
      </c>
      <c r="E1113" s="26" t="n">
        <v>52</v>
      </c>
    </row>
    <row r="1114" customFormat="false" ht="15" hidden="false" customHeight="false" outlineLevel="0" collapsed="false">
      <c r="A1114" s="25" t="n">
        <v>46255</v>
      </c>
      <c r="B1114" s="26" t="s">
        <v>17</v>
      </c>
      <c r="C1114" s="26" t="s">
        <v>74</v>
      </c>
      <c r="D1114" s="26" t="s">
        <v>28</v>
      </c>
      <c r="E1114" s="26" t="n">
        <v>91</v>
      </c>
    </row>
    <row r="1115" customFormat="false" ht="15" hidden="false" customHeight="false" outlineLevel="0" collapsed="false">
      <c r="A1115" s="25" t="n">
        <v>46255</v>
      </c>
      <c r="B1115" s="26" t="s">
        <v>17</v>
      </c>
      <c r="C1115" s="26" t="s">
        <v>74</v>
      </c>
      <c r="D1115" s="26" t="s">
        <v>26</v>
      </c>
      <c r="E1115" s="26" t="n">
        <v>31</v>
      </c>
    </row>
    <row r="1116" customFormat="false" ht="15" hidden="false" customHeight="false" outlineLevel="0" collapsed="false">
      <c r="A1116" s="25" t="n">
        <v>46255</v>
      </c>
      <c r="B1116" s="26" t="s">
        <v>18</v>
      </c>
      <c r="C1116" s="26" t="s">
        <v>72</v>
      </c>
      <c r="D1116" s="26" t="s">
        <v>27</v>
      </c>
      <c r="E1116" s="26" t="n">
        <v>97</v>
      </c>
    </row>
    <row r="1117" customFormat="false" ht="15" hidden="false" customHeight="false" outlineLevel="0" collapsed="false">
      <c r="A1117" s="25" t="n">
        <v>46255</v>
      </c>
      <c r="B1117" s="26" t="s">
        <v>18</v>
      </c>
      <c r="C1117" s="26" t="s">
        <v>72</v>
      </c>
      <c r="D1117" s="26" t="s">
        <v>27</v>
      </c>
      <c r="E1117" s="26" t="n">
        <v>45</v>
      </c>
    </row>
    <row r="1118" customFormat="false" ht="15" hidden="false" customHeight="false" outlineLevel="0" collapsed="false">
      <c r="A1118" s="25" t="n">
        <v>46255</v>
      </c>
      <c r="B1118" s="26" t="s">
        <v>18</v>
      </c>
      <c r="C1118" s="26" t="s">
        <v>73</v>
      </c>
      <c r="D1118" s="26" t="s">
        <v>29</v>
      </c>
      <c r="E1118" s="26" t="n">
        <v>8</v>
      </c>
    </row>
    <row r="1119" customFormat="false" ht="15" hidden="false" customHeight="false" outlineLevel="0" collapsed="false">
      <c r="A1119" s="25" t="n">
        <v>46255</v>
      </c>
      <c r="B1119" s="26" t="s">
        <v>18</v>
      </c>
      <c r="C1119" s="26" t="s">
        <v>73</v>
      </c>
      <c r="D1119" s="26" t="s">
        <v>27</v>
      </c>
      <c r="E1119" s="26" t="n">
        <v>20</v>
      </c>
    </row>
    <row r="1120" customFormat="false" ht="15" hidden="false" customHeight="false" outlineLevel="0" collapsed="false">
      <c r="A1120" s="25" t="n">
        <v>46255</v>
      </c>
      <c r="B1120" s="26" t="s">
        <v>18</v>
      </c>
      <c r="C1120" s="26" t="s">
        <v>74</v>
      </c>
      <c r="D1120" s="26" t="s">
        <v>31</v>
      </c>
      <c r="E1120" s="26" t="n">
        <v>35</v>
      </c>
    </row>
    <row r="1121" customFormat="false" ht="15" hidden="false" customHeight="false" outlineLevel="0" collapsed="false">
      <c r="A1121" s="25" t="n">
        <v>46255</v>
      </c>
      <c r="B1121" s="26" t="s">
        <v>18</v>
      </c>
      <c r="C1121" s="26" t="s">
        <v>74</v>
      </c>
      <c r="D1121" s="26" t="s">
        <v>29</v>
      </c>
      <c r="E1121" s="26" t="n">
        <v>25</v>
      </c>
    </row>
    <row r="1122" customFormat="false" ht="15" hidden="false" customHeight="false" outlineLevel="0" collapsed="false">
      <c r="A1122" s="25" t="n">
        <v>46256</v>
      </c>
      <c r="B1122" s="26" t="s">
        <v>16</v>
      </c>
      <c r="C1122" s="26" t="s">
        <v>73</v>
      </c>
      <c r="D1122" s="26" t="s">
        <v>29</v>
      </c>
      <c r="E1122" s="26" t="n">
        <v>36</v>
      </c>
    </row>
    <row r="1123" customFormat="false" ht="15" hidden="false" customHeight="false" outlineLevel="0" collapsed="false">
      <c r="A1123" s="25" t="n">
        <v>46256</v>
      </c>
      <c r="B1123" s="26" t="s">
        <v>16</v>
      </c>
      <c r="C1123" s="26" t="s">
        <v>73</v>
      </c>
      <c r="D1123" s="26" t="s">
        <v>27</v>
      </c>
      <c r="E1123" s="26" t="n">
        <v>39</v>
      </c>
    </row>
    <row r="1124" customFormat="false" ht="15" hidden="false" customHeight="false" outlineLevel="0" collapsed="false">
      <c r="A1124" s="25" t="n">
        <v>46256</v>
      </c>
      <c r="B1124" s="26" t="s">
        <v>16</v>
      </c>
      <c r="C1124" s="26" t="s">
        <v>74</v>
      </c>
      <c r="D1124" s="26" t="s">
        <v>32</v>
      </c>
      <c r="E1124" s="26" t="n">
        <v>13</v>
      </c>
    </row>
    <row r="1125" customFormat="false" ht="15" hidden="false" customHeight="false" outlineLevel="0" collapsed="false">
      <c r="A1125" s="25" t="n">
        <v>46256</v>
      </c>
      <c r="B1125" s="26" t="s">
        <v>17</v>
      </c>
      <c r="C1125" s="26" t="s">
        <v>72</v>
      </c>
      <c r="D1125" s="26" t="s">
        <v>27</v>
      </c>
      <c r="E1125" s="26" t="n">
        <v>31</v>
      </c>
    </row>
    <row r="1126" customFormat="false" ht="15" hidden="false" customHeight="false" outlineLevel="0" collapsed="false">
      <c r="A1126" s="25" t="n">
        <v>46256</v>
      </c>
      <c r="B1126" s="26" t="s">
        <v>17</v>
      </c>
      <c r="C1126" s="26" t="s">
        <v>72</v>
      </c>
      <c r="D1126" s="26" t="s">
        <v>29</v>
      </c>
      <c r="E1126" s="26" t="n">
        <v>12</v>
      </c>
    </row>
    <row r="1127" customFormat="false" ht="15" hidden="false" customHeight="false" outlineLevel="0" collapsed="false">
      <c r="A1127" s="25" t="n">
        <v>46256</v>
      </c>
      <c r="B1127" s="26" t="s">
        <v>17</v>
      </c>
      <c r="C1127" s="26" t="s">
        <v>72</v>
      </c>
      <c r="D1127" s="26" t="s">
        <v>27</v>
      </c>
      <c r="E1127" s="26" t="n">
        <v>16</v>
      </c>
    </row>
    <row r="1128" customFormat="false" ht="15" hidden="false" customHeight="false" outlineLevel="0" collapsed="false">
      <c r="A1128" s="25" t="n">
        <v>46256</v>
      </c>
      <c r="B1128" s="26" t="s">
        <v>17</v>
      </c>
      <c r="C1128" s="26" t="s">
        <v>73</v>
      </c>
      <c r="D1128" s="26" t="s">
        <v>26</v>
      </c>
      <c r="E1128" s="26" t="n">
        <v>33</v>
      </c>
    </row>
    <row r="1129" customFormat="false" ht="15" hidden="false" customHeight="false" outlineLevel="0" collapsed="false">
      <c r="A1129" s="25" t="n">
        <v>46256</v>
      </c>
      <c r="B1129" s="26" t="s">
        <v>17</v>
      </c>
      <c r="C1129" s="26" t="s">
        <v>73</v>
      </c>
      <c r="D1129" s="26" t="s">
        <v>29</v>
      </c>
      <c r="E1129" s="26" t="n">
        <v>52</v>
      </c>
    </row>
    <row r="1130" customFormat="false" ht="15" hidden="false" customHeight="false" outlineLevel="0" collapsed="false">
      <c r="A1130" s="25" t="n">
        <v>46256</v>
      </c>
      <c r="B1130" s="26" t="s">
        <v>17</v>
      </c>
      <c r="C1130" s="26" t="s">
        <v>73</v>
      </c>
      <c r="D1130" s="26" t="s">
        <v>31</v>
      </c>
      <c r="E1130" s="26" t="n">
        <v>43</v>
      </c>
    </row>
    <row r="1131" customFormat="false" ht="15" hidden="false" customHeight="false" outlineLevel="0" collapsed="false">
      <c r="A1131" s="25" t="n">
        <v>46256</v>
      </c>
      <c r="B1131" s="26" t="s">
        <v>17</v>
      </c>
      <c r="C1131" s="26" t="s">
        <v>73</v>
      </c>
      <c r="D1131" s="26" t="s">
        <v>26</v>
      </c>
      <c r="E1131" s="26" t="n">
        <v>24</v>
      </c>
    </row>
    <row r="1132" customFormat="false" ht="15" hidden="false" customHeight="false" outlineLevel="0" collapsed="false">
      <c r="A1132" s="25" t="n">
        <v>46256</v>
      </c>
      <c r="B1132" s="26" t="s">
        <v>17</v>
      </c>
      <c r="C1132" s="26" t="s">
        <v>73</v>
      </c>
      <c r="D1132" s="26" t="s">
        <v>27</v>
      </c>
      <c r="E1132" s="26" t="n">
        <v>35</v>
      </c>
    </row>
    <row r="1133" customFormat="false" ht="15" hidden="false" customHeight="false" outlineLevel="0" collapsed="false">
      <c r="A1133" s="25" t="n">
        <v>46256</v>
      </c>
      <c r="B1133" s="26" t="s">
        <v>17</v>
      </c>
      <c r="C1133" s="26" t="s">
        <v>74</v>
      </c>
      <c r="D1133" s="26" t="s">
        <v>26</v>
      </c>
      <c r="E1133" s="26" t="n">
        <v>25</v>
      </c>
    </row>
    <row r="1134" customFormat="false" ht="15" hidden="false" customHeight="false" outlineLevel="0" collapsed="false">
      <c r="A1134" s="25" t="n">
        <v>46256</v>
      </c>
      <c r="B1134" s="26" t="s">
        <v>17</v>
      </c>
      <c r="C1134" s="26" t="s">
        <v>74</v>
      </c>
      <c r="D1134" s="26" t="s">
        <v>31</v>
      </c>
      <c r="E1134" s="26" t="n">
        <v>77</v>
      </c>
    </row>
    <row r="1135" customFormat="false" ht="15" hidden="false" customHeight="false" outlineLevel="0" collapsed="false">
      <c r="A1135" s="25" t="n">
        <v>46256</v>
      </c>
      <c r="B1135" s="26" t="s">
        <v>17</v>
      </c>
      <c r="C1135" s="26" t="s">
        <v>74</v>
      </c>
      <c r="D1135" s="26" t="s">
        <v>27</v>
      </c>
      <c r="E1135" s="26" t="n">
        <v>51</v>
      </c>
    </row>
    <row r="1136" customFormat="false" ht="15" hidden="false" customHeight="false" outlineLevel="0" collapsed="false">
      <c r="A1136" s="25" t="n">
        <v>46256</v>
      </c>
      <c r="B1136" s="26" t="s">
        <v>17</v>
      </c>
      <c r="C1136" s="26" t="s">
        <v>74</v>
      </c>
      <c r="D1136" s="26" t="s">
        <v>26</v>
      </c>
      <c r="E1136" s="26" t="n">
        <v>56</v>
      </c>
    </row>
    <row r="1137" customFormat="false" ht="15" hidden="false" customHeight="false" outlineLevel="0" collapsed="false">
      <c r="A1137" s="25" t="n">
        <v>46256</v>
      </c>
      <c r="B1137" s="26" t="s">
        <v>18</v>
      </c>
      <c r="C1137" s="26" t="s">
        <v>72</v>
      </c>
      <c r="D1137" s="26" t="s">
        <v>30</v>
      </c>
      <c r="E1137" s="26" t="n">
        <v>7</v>
      </c>
    </row>
    <row r="1138" customFormat="false" ht="15" hidden="false" customHeight="false" outlineLevel="0" collapsed="false">
      <c r="A1138" s="25" t="n">
        <v>46256</v>
      </c>
      <c r="B1138" s="26" t="s">
        <v>18</v>
      </c>
      <c r="C1138" s="26" t="s">
        <v>72</v>
      </c>
      <c r="D1138" s="26" t="s">
        <v>26</v>
      </c>
      <c r="E1138" s="26" t="n">
        <v>35</v>
      </c>
    </row>
    <row r="1139" customFormat="false" ht="15" hidden="false" customHeight="false" outlineLevel="0" collapsed="false">
      <c r="A1139" s="25" t="n">
        <v>46256</v>
      </c>
      <c r="B1139" s="26" t="s">
        <v>18</v>
      </c>
      <c r="C1139" s="26" t="s">
        <v>73</v>
      </c>
      <c r="D1139" s="26" t="s">
        <v>32</v>
      </c>
      <c r="E1139" s="26" t="n">
        <v>29</v>
      </c>
    </row>
    <row r="1140" customFormat="false" ht="15" hidden="false" customHeight="false" outlineLevel="0" collapsed="false">
      <c r="A1140" s="25" t="n">
        <v>46256</v>
      </c>
      <c r="B1140" s="26" t="s">
        <v>18</v>
      </c>
      <c r="C1140" s="26" t="s">
        <v>73</v>
      </c>
      <c r="D1140" s="26" t="s">
        <v>26</v>
      </c>
      <c r="E1140" s="26" t="n">
        <v>21</v>
      </c>
    </row>
    <row r="1141" customFormat="false" ht="15" hidden="false" customHeight="false" outlineLevel="0" collapsed="false">
      <c r="A1141" s="25" t="n">
        <v>46256</v>
      </c>
      <c r="B1141" s="26" t="s">
        <v>18</v>
      </c>
      <c r="C1141" s="26" t="s">
        <v>74</v>
      </c>
      <c r="D1141" s="26" t="s">
        <v>29</v>
      </c>
      <c r="E1141" s="26" t="n">
        <v>33</v>
      </c>
    </row>
    <row r="1142" customFormat="false" ht="15" hidden="false" customHeight="false" outlineLevel="0" collapsed="false">
      <c r="A1142" s="25" t="n">
        <v>46256</v>
      </c>
      <c r="B1142" s="26" t="s">
        <v>18</v>
      </c>
      <c r="C1142" s="26" t="s">
        <v>74</v>
      </c>
      <c r="D1142" s="26" t="s">
        <v>28</v>
      </c>
      <c r="E1142" s="26" t="n">
        <v>23</v>
      </c>
    </row>
    <row r="1143" customFormat="false" ht="15" hidden="false" customHeight="false" outlineLevel="0" collapsed="false">
      <c r="A1143" s="25" t="n">
        <v>46256</v>
      </c>
      <c r="B1143" s="26" t="s">
        <v>18</v>
      </c>
      <c r="C1143" s="26" t="s">
        <v>74</v>
      </c>
      <c r="D1143" s="26" t="s">
        <v>26</v>
      </c>
      <c r="E1143" s="26" t="n">
        <v>54</v>
      </c>
    </row>
    <row r="1144" customFormat="false" ht="15" hidden="false" customHeight="false" outlineLevel="0" collapsed="false">
      <c r="A1144" s="25" t="n">
        <v>46257</v>
      </c>
      <c r="B1144" s="26" t="s">
        <v>16</v>
      </c>
      <c r="C1144" s="26" t="s">
        <v>72</v>
      </c>
      <c r="D1144" s="26" t="s">
        <v>27</v>
      </c>
      <c r="E1144" s="26" t="n">
        <v>22</v>
      </c>
    </row>
    <row r="1145" customFormat="false" ht="15" hidden="false" customHeight="false" outlineLevel="0" collapsed="false">
      <c r="A1145" s="25" t="n">
        <v>46257</v>
      </c>
      <c r="B1145" s="26" t="s">
        <v>16</v>
      </c>
      <c r="C1145" s="26" t="s">
        <v>72</v>
      </c>
      <c r="D1145" s="26" t="s">
        <v>28</v>
      </c>
      <c r="E1145" s="26" t="n">
        <v>72</v>
      </c>
    </row>
    <row r="1146" customFormat="false" ht="15" hidden="false" customHeight="false" outlineLevel="0" collapsed="false">
      <c r="A1146" s="25" t="n">
        <v>46257</v>
      </c>
      <c r="B1146" s="26" t="s">
        <v>16</v>
      </c>
      <c r="C1146" s="26" t="s">
        <v>72</v>
      </c>
      <c r="D1146" s="26" t="s">
        <v>28</v>
      </c>
      <c r="E1146" s="26" t="n">
        <v>32</v>
      </c>
    </row>
    <row r="1147" customFormat="false" ht="15" hidden="false" customHeight="false" outlineLevel="0" collapsed="false">
      <c r="A1147" s="25" t="n">
        <v>46257</v>
      </c>
      <c r="B1147" s="26" t="s">
        <v>16</v>
      </c>
      <c r="C1147" s="26" t="s">
        <v>73</v>
      </c>
      <c r="D1147" s="26" t="s">
        <v>28</v>
      </c>
      <c r="E1147" s="26" t="n">
        <v>23</v>
      </c>
    </row>
    <row r="1148" customFormat="false" ht="15" hidden="false" customHeight="false" outlineLevel="0" collapsed="false">
      <c r="A1148" s="25" t="n">
        <v>46257</v>
      </c>
      <c r="B1148" s="26" t="s">
        <v>16</v>
      </c>
      <c r="C1148" s="26" t="s">
        <v>74</v>
      </c>
      <c r="D1148" s="26" t="s">
        <v>30</v>
      </c>
      <c r="E1148" s="26" t="n">
        <v>61</v>
      </c>
    </row>
    <row r="1149" customFormat="false" ht="15" hidden="false" customHeight="false" outlineLevel="0" collapsed="false">
      <c r="A1149" s="25" t="n">
        <v>46257</v>
      </c>
      <c r="B1149" s="26" t="s">
        <v>16</v>
      </c>
      <c r="C1149" s="26" t="s">
        <v>74</v>
      </c>
      <c r="D1149" s="26" t="s">
        <v>29</v>
      </c>
      <c r="E1149" s="26" t="n">
        <v>21</v>
      </c>
    </row>
    <row r="1150" customFormat="false" ht="15" hidden="false" customHeight="false" outlineLevel="0" collapsed="false">
      <c r="A1150" s="25" t="n">
        <v>46257</v>
      </c>
      <c r="B1150" s="26" t="s">
        <v>17</v>
      </c>
      <c r="C1150" s="26" t="s">
        <v>72</v>
      </c>
      <c r="D1150" s="26" t="s">
        <v>26</v>
      </c>
      <c r="E1150" s="26" t="n">
        <v>41</v>
      </c>
    </row>
    <row r="1151" customFormat="false" ht="15" hidden="false" customHeight="false" outlineLevel="0" collapsed="false">
      <c r="A1151" s="25" t="n">
        <v>46257</v>
      </c>
      <c r="B1151" s="26" t="s">
        <v>17</v>
      </c>
      <c r="C1151" s="26" t="s">
        <v>72</v>
      </c>
      <c r="D1151" s="26" t="s">
        <v>27</v>
      </c>
      <c r="E1151" s="26" t="n">
        <v>20</v>
      </c>
    </row>
    <row r="1152" customFormat="false" ht="15" hidden="false" customHeight="false" outlineLevel="0" collapsed="false">
      <c r="A1152" s="25" t="n">
        <v>46257</v>
      </c>
      <c r="B1152" s="26" t="s">
        <v>17</v>
      </c>
      <c r="C1152" s="26" t="s">
        <v>72</v>
      </c>
      <c r="D1152" s="26" t="s">
        <v>28</v>
      </c>
      <c r="E1152" s="26" t="n">
        <v>41</v>
      </c>
    </row>
    <row r="1153" customFormat="false" ht="15" hidden="false" customHeight="false" outlineLevel="0" collapsed="false">
      <c r="A1153" s="25" t="n">
        <v>46257</v>
      </c>
      <c r="B1153" s="26" t="s">
        <v>17</v>
      </c>
      <c r="C1153" s="26" t="s">
        <v>72</v>
      </c>
      <c r="D1153" s="26" t="s">
        <v>29</v>
      </c>
      <c r="E1153" s="26" t="n">
        <v>10</v>
      </c>
    </row>
    <row r="1154" customFormat="false" ht="15" hidden="false" customHeight="false" outlineLevel="0" collapsed="false">
      <c r="A1154" s="25" t="n">
        <v>46257</v>
      </c>
      <c r="B1154" s="26" t="s">
        <v>17</v>
      </c>
      <c r="C1154" s="26" t="s">
        <v>72</v>
      </c>
      <c r="D1154" s="26" t="s">
        <v>26</v>
      </c>
      <c r="E1154" s="26" t="n">
        <v>31</v>
      </c>
    </row>
    <row r="1155" customFormat="false" ht="15" hidden="false" customHeight="false" outlineLevel="0" collapsed="false">
      <c r="A1155" s="25" t="n">
        <v>46257</v>
      </c>
      <c r="B1155" s="26" t="s">
        <v>17</v>
      </c>
      <c r="C1155" s="26" t="s">
        <v>72</v>
      </c>
      <c r="D1155" s="26" t="s">
        <v>29</v>
      </c>
      <c r="E1155" s="26" t="n">
        <v>17</v>
      </c>
    </row>
    <row r="1156" customFormat="false" ht="15" hidden="false" customHeight="false" outlineLevel="0" collapsed="false">
      <c r="A1156" s="25" t="n">
        <v>46257</v>
      </c>
      <c r="B1156" s="26" t="s">
        <v>17</v>
      </c>
      <c r="C1156" s="26" t="s">
        <v>72</v>
      </c>
      <c r="D1156" s="26" t="s">
        <v>28</v>
      </c>
      <c r="E1156" s="26" t="n">
        <v>41</v>
      </c>
    </row>
    <row r="1157" customFormat="false" ht="15" hidden="false" customHeight="false" outlineLevel="0" collapsed="false">
      <c r="A1157" s="25" t="n">
        <v>46257</v>
      </c>
      <c r="B1157" s="26" t="s">
        <v>17</v>
      </c>
      <c r="C1157" s="26" t="s">
        <v>72</v>
      </c>
      <c r="D1157" s="26" t="s">
        <v>27</v>
      </c>
      <c r="E1157" s="26" t="n">
        <v>15</v>
      </c>
    </row>
    <row r="1158" customFormat="false" ht="15" hidden="false" customHeight="false" outlineLevel="0" collapsed="false">
      <c r="A1158" s="25" t="n">
        <v>46257</v>
      </c>
      <c r="B1158" s="26" t="s">
        <v>17</v>
      </c>
      <c r="C1158" s="26" t="s">
        <v>73</v>
      </c>
      <c r="D1158" s="26" t="s">
        <v>28</v>
      </c>
      <c r="E1158" s="26" t="n">
        <v>25</v>
      </c>
    </row>
    <row r="1159" customFormat="false" ht="15" hidden="false" customHeight="false" outlineLevel="0" collapsed="false">
      <c r="A1159" s="25" t="n">
        <v>46257</v>
      </c>
      <c r="B1159" s="26" t="s">
        <v>17</v>
      </c>
      <c r="C1159" s="26" t="s">
        <v>73</v>
      </c>
      <c r="D1159" s="26" t="s">
        <v>26</v>
      </c>
      <c r="E1159" s="26" t="n">
        <v>21</v>
      </c>
    </row>
    <row r="1160" customFormat="false" ht="15" hidden="false" customHeight="false" outlineLevel="0" collapsed="false">
      <c r="A1160" s="25" t="n">
        <v>46257</v>
      </c>
      <c r="B1160" s="26" t="s">
        <v>17</v>
      </c>
      <c r="C1160" s="26" t="s">
        <v>73</v>
      </c>
      <c r="D1160" s="26" t="s">
        <v>26</v>
      </c>
      <c r="E1160" s="26" t="n">
        <v>12</v>
      </c>
    </row>
    <row r="1161" customFormat="false" ht="15" hidden="false" customHeight="false" outlineLevel="0" collapsed="false">
      <c r="A1161" s="25" t="n">
        <v>46257</v>
      </c>
      <c r="B1161" s="26" t="s">
        <v>17</v>
      </c>
      <c r="C1161" s="26" t="s">
        <v>74</v>
      </c>
      <c r="D1161" s="26" t="s">
        <v>28</v>
      </c>
      <c r="E1161" s="26" t="n">
        <v>9</v>
      </c>
    </row>
    <row r="1162" customFormat="false" ht="15" hidden="false" customHeight="false" outlineLevel="0" collapsed="false">
      <c r="A1162" s="25" t="n">
        <v>46257</v>
      </c>
      <c r="B1162" s="26" t="s">
        <v>17</v>
      </c>
      <c r="C1162" s="26" t="s">
        <v>74</v>
      </c>
      <c r="D1162" s="26" t="s">
        <v>28</v>
      </c>
      <c r="E1162" s="26" t="n">
        <v>117</v>
      </c>
    </row>
    <row r="1163" customFormat="false" ht="15" hidden="false" customHeight="false" outlineLevel="0" collapsed="false">
      <c r="A1163" s="25" t="n">
        <v>46257</v>
      </c>
      <c r="B1163" s="26" t="s">
        <v>17</v>
      </c>
      <c r="C1163" s="26" t="s">
        <v>74</v>
      </c>
      <c r="D1163" s="26" t="s">
        <v>26</v>
      </c>
      <c r="E1163" s="26" t="n">
        <v>25</v>
      </c>
    </row>
    <row r="1164" customFormat="false" ht="15" hidden="false" customHeight="false" outlineLevel="0" collapsed="false">
      <c r="A1164" s="25" t="n">
        <v>46257</v>
      </c>
      <c r="B1164" s="26" t="s">
        <v>18</v>
      </c>
      <c r="C1164" s="26" t="s">
        <v>72</v>
      </c>
      <c r="D1164" s="26" t="s">
        <v>31</v>
      </c>
      <c r="E1164" s="26" t="n">
        <v>42</v>
      </c>
    </row>
    <row r="1165" customFormat="false" ht="15" hidden="false" customHeight="false" outlineLevel="0" collapsed="false">
      <c r="A1165" s="25" t="n">
        <v>46257</v>
      </c>
      <c r="B1165" s="26" t="s">
        <v>18</v>
      </c>
      <c r="C1165" s="26" t="s">
        <v>73</v>
      </c>
      <c r="D1165" s="26" t="s">
        <v>29</v>
      </c>
      <c r="E1165" s="26" t="n">
        <v>18</v>
      </c>
    </row>
    <row r="1166" customFormat="false" ht="15" hidden="false" customHeight="false" outlineLevel="0" collapsed="false">
      <c r="A1166" s="25" t="n">
        <v>46257</v>
      </c>
      <c r="B1166" s="26" t="s">
        <v>18</v>
      </c>
      <c r="C1166" s="26" t="s">
        <v>73</v>
      </c>
      <c r="D1166" s="26" t="s">
        <v>28</v>
      </c>
      <c r="E1166" s="26" t="n">
        <v>57</v>
      </c>
    </row>
    <row r="1167" customFormat="false" ht="15" hidden="false" customHeight="false" outlineLevel="0" collapsed="false">
      <c r="A1167" s="25" t="n">
        <v>46257</v>
      </c>
      <c r="B1167" s="26" t="s">
        <v>18</v>
      </c>
      <c r="C1167" s="26" t="s">
        <v>73</v>
      </c>
      <c r="D1167" s="26" t="s">
        <v>26</v>
      </c>
      <c r="E1167" s="26" t="n">
        <v>65</v>
      </c>
    </row>
    <row r="1168" customFormat="false" ht="15" hidden="false" customHeight="false" outlineLevel="0" collapsed="false">
      <c r="A1168" s="25" t="n">
        <v>46257</v>
      </c>
      <c r="B1168" s="26" t="s">
        <v>18</v>
      </c>
      <c r="C1168" s="26" t="s">
        <v>74</v>
      </c>
      <c r="D1168" s="26" t="s">
        <v>30</v>
      </c>
      <c r="E1168" s="26" t="n">
        <v>43</v>
      </c>
    </row>
    <row r="1169" customFormat="false" ht="15" hidden="false" customHeight="false" outlineLevel="0" collapsed="false">
      <c r="A1169" s="25" t="n">
        <v>46258</v>
      </c>
      <c r="B1169" s="26" t="s">
        <v>16</v>
      </c>
      <c r="C1169" s="26" t="s">
        <v>72</v>
      </c>
      <c r="D1169" s="26" t="s">
        <v>32</v>
      </c>
      <c r="E1169" s="26" t="n">
        <v>7</v>
      </c>
    </row>
    <row r="1170" customFormat="false" ht="15" hidden="false" customHeight="false" outlineLevel="0" collapsed="false">
      <c r="A1170" s="25" t="n">
        <v>46258</v>
      </c>
      <c r="B1170" s="26" t="s">
        <v>16</v>
      </c>
      <c r="C1170" s="26" t="s">
        <v>72</v>
      </c>
      <c r="D1170" s="26" t="s">
        <v>26</v>
      </c>
      <c r="E1170" s="26" t="n">
        <v>24</v>
      </c>
    </row>
    <row r="1171" customFormat="false" ht="15" hidden="false" customHeight="false" outlineLevel="0" collapsed="false">
      <c r="A1171" s="25" t="n">
        <v>46258</v>
      </c>
      <c r="B1171" s="26" t="s">
        <v>16</v>
      </c>
      <c r="C1171" s="26" t="s">
        <v>72</v>
      </c>
      <c r="D1171" s="26" t="s">
        <v>26</v>
      </c>
      <c r="E1171" s="26" t="n">
        <v>75</v>
      </c>
    </row>
    <row r="1172" customFormat="false" ht="15" hidden="false" customHeight="false" outlineLevel="0" collapsed="false">
      <c r="A1172" s="25" t="n">
        <v>46258</v>
      </c>
      <c r="B1172" s="26" t="s">
        <v>16</v>
      </c>
      <c r="C1172" s="26" t="s">
        <v>72</v>
      </c>
      <c r="D1172" s="26" t="s">
        <v>28</v>
      </c>
      <c r="E1172" s="26" t="n">
        <v>13</v>
      </c>
    </row>
    <row r="1173" customFormat="false" ht="15" hidden="false" customHeight="false" outlineLevel="0" collapsed="false">
      <c r="A1173" s="25" t="n">
        <v>46258</v>
      </c>
      <c r="B1173" s="26" t="s">
        <v>16</v>
      </c>
      <c r="C1173" s="26" t="s">
        <v>74</v>
      </c>
      <c r="D1173" s="26" t="s">
        <v>27</v>
      </c>
      <c r="E1173" s="26" t="n">
        <v>22</v>
      </c>
    </row>
    <row r="1174" customFormat="false" ht="15" hidden="false" customHeight="false" outlineLevel="0" collapsed="false">
      <c r="A1174" s="25" t="n">
        <v>46258</v>
      </c>
      <c r="B1174" s="26" t="s">
        <v>17</v>
      </c>
      <c r="C1174" s="26" t="s">
        <v>72</v>
      </c>
      <c r="D1174" s="26" t="s">
        <v>26</v>
      </c>
      <c r="E1174" s="26" t="n">
        <v>43</v>
      </c>
    </row>
    <row r="1175" customFormat="false" ht="15" hidden="false" customHeight="false" outlineLevel="0" collapsed="false">
      <c r="A1175" s="25" t="n">
        <v>46258</v>
      </c>
      <c r="B1175" s="26" t="s">
        <v>17</v>
      </c>
      <c r="C1175" s="26" t="s">
        <v>73</v>
      </c>
      <c r="D1175" s="26" t="s">
        <v>26</v>
      </c>
      <c r="E1175" s="26" t="n">
        <v>23</v>
      </c>
    </row>
    <row r="1176" customFormat="false" ht="15" hidden="false" customHeight="false" outlineLevel="0" collapsed="false">
      <c r="A1176" s="25" t="n">
        <v>46258</v>
      </c>
      <c r="B1176" s="26" t="s">
        <v>17</v>
      </c>
      <c r="C1176" s="26" t="s">
        <v>73</v>
      </c>
      <c r="D1176" s="26" t="s">
        <v>26</v>
      </c>
      <c r="E1176" s="26" t="n">
        <v>40</v>
      </c>
    </row>
    <row r="1177" customFormat="false" ht="15" hidden="false" customHeight="false" outlineLevel="0" collapsed="false">
      <c r="A1177" s="25" t="n">
        <v>46258</v>
      </c>
      <c r="B1177" s="26" t="s">
        <v>17</v>
      </c>
      <c r="C1177" s="26" t="s">
        <v>74</v>
      </c>
      <c r="D1177" s="26" t="s">
        <v>29</v>
      </c>
      <c r="E1177" s="26" t="n">
        <v>20</v>
      </c>
    </row>
    <row r="1178" customFormat="false" ht="15" hidden="false" customHeight="false" outlineLevel="0" collapsed="false">
      <c r="A1178" s="25" t="n">
        <v>46258</v>
      </c>
      <c r="B1178" s="26" t="s">
        <v>17</v>
      </c>
      <c r="C1178" s="26" t="s">
        <v>74</v>
      </c>
      <c r="D1178" s="26" t="s">
        <v>29</v>
      </c>
      <c r="E1178" s="26" t="n">
        <v>32</v>
      </c>
    </row>
    <row r="1179" customFormat="false" ht="15" hidden="false" customHeight="false" outlineLevel="0" collapsed="false">
      <c r="A1179" s="25" t="n">
        <v>46258</v>
      </c>
      <c r="B1179" s="26" t="s">
        <v>17</v>
      </c>
      <c r="C1179" s="26" t="s">
        <v>74</v>
      </c>
      <c r="D1179" s="26" t="s">
        <v>26</v>
      </c>
      <c r="E1179" s="26" t="n">
        <v>82</v>
      </c>
    </row>
    <row r="1180" customFormat="false" ht="15" hidden="false" customHeight="false" outlineLevel="0" collapsed="false">
      <c r="A1180" s="25" t="n">
        <v>46258</v>
      </c>
      <c r="B1180" s="26" t="s">
        <v>17</v>
      </c>
      <c r="C1180" s="26" t="s">
        <v>74</v>
      </c>
      <c r="D1180" s="26" t="s">
        <v>26</v>
      </c>
      <c r="E1180" s="26" t="n">
        <v>57</v>
      </c>
    </row>
    <row r="1181" customFormat="false" ht="15" hidden="false" customHeight="false" outlineLevel="0" collapsed="false">
      <c r="A1181" s="25" t="n">
        <v>46258</v>
      </c>
      <c r="B1181" s="26" t="s">
        <v>17</v>
      </c>
      <c r="C1181" s="26" t="s">
        <v>74</v>
      </c>
      <c r="D1181" s="26" t="s">
        <v>26</v>
      </c>
      <c r="E1181" s="26" t="n">
        <v>27</v>
      </c>
    </row>
    <row r="1182" customFormat="false" ht="15" hidden="false" customHeight="false" outlineLevel="0" collapsed="false">
      <c r="A1182" s="25" t="n">
        <v>46258</v>
      </c>
      <c r="B1182" s="26" t="s">
        <v>18</v>
      </c>
      <c r="C1182" s="26" t="s">
        <v>72</v>
      </c>
      <c r="D1182" s="26" t="s">
        <v>30</v>
      </c>
      <c r="E1182" s="26" t="n">
        <v>38</v>
      </c>
    </row>
    <row r="1183" customFormat="false" ht="15" hidden="false" customHeight="false" outlineLevel="0" collapsed="false">
      <c r="A1183" s="25" t="n">
        <v>46258</v>
      </c>
      <c r="B1183" s="26" t="s">
        <v>18</v>
      </c>
      <c r="C1183" s="26" t="s">
        <v>72</v>
      </c>
      <c r="D1183" s="26" t="s">
        <v>26</v>
      </c>
      <c r="E1183" s="26" t="n">
        <v>74</v>
      </c>
    </row>
    <row r="1184" customFormat="false" ht="15" hidden="false" customHeight="false" outlineLevel="0" collapsed="false">
      <c r="A1184" s="25" t="n">
        <v>46258</v>
      </c>
      <c r="B1184" s="26" t="s">
        <v>18</v>
      </c>
      <c r="C1184" s="26" t="s">
        <v>73</v>
      </c>
      <c r="D1184" s="26" t="s">
        <v>27</v>
      </c>
      <c r="E1184" s="26" t="n">
        <v>47</v>
      </c>
    </row>
    <row r="1185" customFormat="false" ht="15" hidden="false" customHeight="false" outlineLevel="0" collapsed="false">
      <c r="A1185" s="25" t="n">
        <v>46258</v>
      </c>
      <c r="B1185" s="26" t="s">
        <v>18</v>
      </c>
      <c r="C1185" s="26" t="s">
        <v>73</v>
      </c>
      <c r="D1185" s="26" t="s">
        <v>26</v>
      </c>
      <c r="E1185" s="26" t="n">
        <v>34</v>
      </c>
    </row>
    <row r="1186" customFormat="false" ht="15" hidden="false" customHeight="false" outlineLevel="0" collapsed="false">
      <c r="A1186" s="25" t="n">
        <v>46258</v>
      </c>
      <c r="B1186" s="26" t="s">
        <v>18</v>
      </c>
      <c r="C1186" s="26" t="s">
        <v>73</v>
      </c>
      <c r="D1186" s="26" t="s">
        <v>32</v>
      </c>
      <c r="E1186" s="26" t="n">
        <v>5</v>
      </c>
    </row>
    <row r="1187" customFormat="false" ht="15" hidden="false" customHeight="false" outlineLevel="0" collapsed="false">
      <c r="A1187" s="25" t="n">
        <v>46258</v>
      </c>
      <c r="B1187" s="26" t="s">
        <v>18</v>
      </c>
      <c r="C1187" s="26" t="s">
        <v>73</v>
      </c>
      <c r="D1187" s="26" t="s">
        <v>30</v>
      </c>
      <c r="E1187" s="26" t="n">
        <v>35</v>
      </c>
    </row>
    <row r="1188" customFormat="false" ht="15" hidden="false" customHeight="false" outlineLevel="0" collapsed="false">
      <c r="A1188" s="25" t="n">
        <v>46258</v>
      </c>
      <c r="B1188" s="26" t="s">
        <v>18</v>
      </c>
      <c r="C1188" s="26" t="s">
        <v>74</v>
      </c>
      <c r="D1188" s="26" t="s">
        <v>26</v>
      </c>
      <c r="E1188" s="26" t="n">
        <v>37</v>
      </c>
    </row>
    <row r="1189" customFormat="false" ht="15" hidden="false" customHeight="false" outlineLevel="0" collapsed="false">
      <c r="A1189" s="25" t="n">
        <v>46259</v>
      </c>
      <c r="B1189" s="26" t="s">
        <v>16</v>
      </c>
      <c r="C1189" s="26" t="s">
        <v>72</v>
      </c>
      <c r="D1189" s="26" t="s">
        <v>29</v>
      </c>
      <c r="E1189" s="26" t="n">
        <v>16</v>
      </c>
    </row>
    <row r="1190" customFormat="false" ht="15" hidden="false" customHeight="false" outlineLevel="0" collapsed="false">
      <c r="A1190" s="25" t="n">
        <v>46259</v>
      </c>
      <c r="B1190" s="26" t="s">
        <v>16</v>
      </c>
      <c r="C1190" s="26" t="s">
        <v>72</v>
      </c>
      <c r="D1190" s="26" t="s">
        <v>26</v>
      </c>
      <c r="E1190" s="26" t="n">
        <v>79</v>
      </c>
    </row>
    <row r="1191" customFormat="false" ht="15" hidden="false" customHeight="false" outlineLevel="0" collapsed="false">
      <c r="A1191" s="25" t="n">
        <v>46259</v>
      </c>
      <c r="B1191" s="26" t="s">
        <v>16</v>
      </c>
      <c r="C1191" s="26" t="s">
        <v>72</v>
      </c>
      <c r="D1191" s="26" t="s">
        <v>27</v>
      </c>
      <c r="E1191" s="26" t="n">
        <v>22</v>
      </c>
    </row>
    <row r="1192" customFormat="false" ht="15" hidden="false" customHeight="false" outlineLevel="0" collapsed="false">
      <c r="A1192" s="25" t="n">
        <v>46259</v>
      </c>
      <c r="B1192" s="26" t="s">
        <v>16</v>
      </c>
      <c r="C1192" s="26" t="s">
        <v>72</v>
      </c>
      <c r="D1192" s="26" t="s">
        <v>31</v>
      </c>
      <c r="E1192" s="26" t="n">
        <v>35</v>
      </c>
    </row>
    <row r="1193" customFormat="false" ht="15" hidden="false" customHeight="false" outlineLevel="0" collapsed="false">
      <c r="A1193" s="25" t="n">
        <v>46259</v>
      </c>
      <c r="B1193" s="26" t="s">
        <v>16</v>
      </c>
      <c r="C1193" s="26" t="s">
        <v>73</v>
      </c>
      <c r="D1193" s="26" t="s">
        <v>27</v>
      </c>
      <c r="E1193" s="26" t="n">
        <v>19</v>
      </c>
    </row>
    <row r="1194" customFormat="false" ht="15" hidden="false" customHeight="false" outlineLevel="0" collapsed="false">
      <c r="A1194" s="25" t="n">
        <v>46259</v>
      </c>
      <c r="B1194" s="26" t="s">
        <v>16</v>
      </c>
      <c r="C1194" s="26" t="s">
        <v>74</v>
      </c>
      <c r="D1194" s="26" t="s">
        <v>26</v>
      </c>
      <c r="E1194" s="26" t="n">
        <v>39</v>
      </c>
    </row>
    <row r="1195" customFormat="false" ht="15" hidden="false" customHeight="false" outlineLevel="0" collapsed="false">
      <c r="A1195" s="25" t="n">
        <v>46259</v>
      </c>
      <c r="B1195" s="26" t="s">
        <v>16</v>
      </c>
      <c r="C1195" s="26" t="s">
        <v>74</v>
      </c>
      <c r="D1195" s="26" t="s">
        <v>26</v>
      </c>
      <c r="E1195" s="26" t="n">
        <v>46</v>
      </c>
    </row>
    <row r="1196" customFormat="false" ht="15" hidden="false" customHeight="false" outlineLevel="0" collapsed="false">
      <c r="A1196" s="25" t="n">
        <v>46259</v>
      </c>
      <c r="B1196" s="26" t="s">
        <v>16</v>
      </c>
      <c r="C1196" s="26" t="s">
        <v>74</v>
      </c>
      <c r="D1196" s="26" t="s">
        <v>26</v>
      </c>
      <c r="E1196" s="26" t="n">
        <v>39</v>
      </c>
    </row>
    <row r="1197" customFormat="false" ht="15" hidden="false" customHeight="false" outlineLevel="0" collapsed="false">
      <c r="A1197" s="25" t="n">
        <v>46259</v>
      </c>
      <c r="B1197" s="26" t="s">
        <v>16</v>
      </c>
      <c r="C1197" s="26" t="s">
        <v>74</v>
      </c>
      <c r="D1197" s="26" t="s">
        <v>32</v>
      </c>
      <c r="E1197" s="26" t="n">
        <v>15</v>
      </c>
    </row>
    <row r="1198" customFormat="false" ht="15" hidden="false" customHeight="false" outlineLevel="0" collapsed="false">
      <c r="A1198" s="25" t="n">
        <v>46259</v>
      </c>
      <c r="B1198" s="26" t="s">
        <v>16</v>
      </c>
      <c r="C1198" s="26" t="s">
        <v>74</v>
      </c>
      <c r="D1198" s="26" t="s">
        <v>28</v>
      </c>
      <c r="E1198" s="26" t="n">
        <v>63</v>
      </c>
    </row>
    <row r="1199" customFormat="false" ht="15" hidden="false" customHeight="false" outlineLevel="0" collapsed="false">
      <c r="A1199" s="25" t="n">
        <v>46259</v>
      </c>
      <c r="B1199" s="26" t="s">
        <v>17</v>
      </c>
      <c r="C1199" s="26" t="s">
        <v>72</v>
      </c>
      <c r="D1199" s="26" t="s">
        <v>26</v>
      </c>
      <c r="E1199" s="26" t="n">
        <v>23</v>
      </c>
    </row>
    <row r="1200" customFormat="false" ht="15" hidden="false" customHeight="false" outlineLevel="0" collapsed="false">
      <c r="A1200" s="25" t="n">
        <v>46259</v>
      </c>
      <c r="B1200" s="26" t="s">
        <v>17</v>
      </c>
      <c r="C1200" s="26" t="s">
        <v>72</v>
      </c>
      <c r="D1200" s="26" t="s">
        <v>29</v>
      </c>
      <c r="E1200" s="26" t="n">
        <v>21</v>
      </c>
    </row>
    <row r="1201" customFormat="false" ht="15" hidden="false" customHeight="false" outlineLevel="0" collapsed="false">
      <c r="A1201" s="25" t="n">
        <v>46259</v>
      </c>
      <c r="B1201" s="26" t="s">
        <v>17</v>
      </c>
      <c r="C1201" s="26" t="s">
        <v>72</v>
      </c>
      <c r="D1201" s="26" t="s">
        <v>30</v>
      </c>
      <c r="E1201" s="26" t="n">
        <v>31</v>
      </c>
    </row>
    <row r="1202" customFormat="false" ht="15" hidden="false" customHeight="false" outlineLevel="0" collapsed="false">
      <c r="A1202" s="25" t="n">
        <v>46259</v>
      </c>
      <c r="B1202" s="26" t="s">
        <v>17</v>
      </c>
      <c r="C1202" s="26" t="s">
        <v>73</v>
      </c>
      <c r="D1202" s="26" t="s">
        <v>26</v>
      </c>
      <c r="E1202" s="26" t="n">
        <v>106</v>
      </c>
    </row>
    <row r="1203" customFormat="false" ht="15" hidden="false" customHeight="false" outlineLevel="0" collapsed="false">
      <c r="A1203" s="25" t="n">
        <v>46259</v>
      </c>
      <c r="B1203" s="26" t="s">
        <v>17</v>
      </c>
      <c r="C1203" s="26" t="s">
        <v>73</v>
      </c>
      <c r="D1203" s="26" t="s">
        <v>32</v>
      </c>
      <c r="E1203" s="26" t="n">
        <v>32</v>
      </c>
    </row>
    <row r="1204" customFormat="false" ht="15" hidden="false" customHeight="false" outlineLevel="0" collapsed="false">
      <c r="A1204" s="25" t="n">
        <v>46259</v>
      </c>
      <c r="B1204" s="26" t="s">
        <v>17</v>
      </c>
      <c r="C1204" s="26" t="s">
        <v>73</v>
      </c>
      <c r="D1204" s="26" t="s">
        <v>26</v>
      </c>
      <c r="E1204" s="26" t="n">
        <v>49</v>
      </c>
    </row>
    <row r="1205" customFormat="false" ht="15" hidden="false" customHeight="false" outlineLevel="0" collapsed="false">
      <c r="A1205" s="25" t="n">
        <v>46259</v>
      </c>
      <c r="B1205" s="26" t="s">
        <v>17</v>
      </c>
      <c r="C1205" s="26" t="s">
        <v>73</v>
      </c>
      <c r="D1205" s="26" t="s">
        <v>32</v>
      </c>
      <c r="E1205" s="26" t="n">
        <v>5</v>
      </c>
    </row>
    <row r="1206" customFormat="false" ht="15" hidden="false" customHeight="false" outlineLevel="0" collapsed="false">
      <c r="A1206" s="25" t="n">
        <v>46259</v>
      </c>
      <c r="B1206" s="26" t="s">
        <v>17</v>
      </c>
      <c r="C1206" s="26" t="s">
        <v>73</v>
      </c>
      <c r="D1206" s="26" t="s">
        <v>30</v>
      </c>
      <c r="E1206" s="26" t="n">
        <v>19</v>
      </c>
    </row>
    <row r="1207" customFormat="false" ht="15" hidden="false" customHeight="false" outlineLevel="0" collapsed="false">
      <c r="A1207" s="25" t="n">
        <v>46259</v>
      </c>
      <c r="B1207" s="26" t="s">
        <v>17</v>
      </c>
      <c r="C1207" s="26" t="s">
        <v>74</v>
      </c>
      <c r="D1207" s="26" t="s">
        <v>26</v>
      </c>
      <c r="E1207" s="26" t="n">
        <v>27</v>
      </c>
    </row>
    <row r="1208" customFormat="false" ht="15" hidden="false" customHeight="false" outlineLevel="0" collapsed="false">
      <c r="A1208" s="25" t="n">
        <v>46259</v>
      </c>
      <c r="B1208" s="26" t="s">
        <v>17</v>
      </c>
      <c r="C1208" s="26" t="s">
        <v>74</v>
      </c>
      <c r="D1208" s="26" t="s">
        <v>30</v>
      </c>
      <c r="E1208" s="26" t="n">
        <v>27</v>
      </c>
    </row>
    <row r="1209" customFormat="false" ht="15" hidden="false" customHeight="false" outlineLevel="0" collapsed="false">
      <c r="A1209" s="25" t="n">
        <v>46259</v>
      </c>
      <c r="B1209" s="26" t="s">
        <v>17</v>
      </c>
      <c r="C1209" s="26" t="s">
        <v>74</v>
      </c>
      <c r="D1209" s="26" t="s">
        <v>28</v>
      </c>
      <c r="E1209" s="26" t="n">
        <v>71</v>
      </c>
    </row>
    <row r="1210" customFormat="false" ht="15" hidden="false" customHeight="false" outlineLevel="0" collapsed="false">
      <c r="A1210" s="25" t="n">
        <v>46259</v>
      </c>
      <c r="B1210" s="26" t="s">
        <v>18</v>
      </c>
      <c r="C1210" s="26" t="s">
        <v>72</v>
      </c>
      <c r="D1210" s="26" t="s">
        <v>28</v>
      </c>
      <c r="E1210" s="26" t="n">
        <v>85</v>
      </c>
    </row>
    <row r="1211" customFormat="false" ht="15" hidden="false" customHeight="false" outlineLevel="0" collapsed="false">
      <c r="A1211" s="25" t="n">
        <v>46259</v>
      </c>
      <c r="B1211" s="26" t="s">
        <v>18</v>
      </c>
      <c r="C1211" s="26" t="s">
        <v>72</v>
      </c>
      <c r="D1211" s="26" t="s">
        <v>30</v>
      </c>
      <c r="E1211" s="26" t="n">
        <v>48</v>
      </c>
    </row>
    <row r="1212" customFormat="false" ht="15" hidden="false" customHeight="false" outlineLevel="0" collapsed="false">
      <c r="A1212" s="25" t="n">
        <v>46259</v>
      </c>
      <c r="B1212" s="26" t="s">
        <v>18</v>
      </c>
      <c r="C1212" s="26" t="s">
        <v>72</v>
      </c>
      <c r="D1212" s="26" t="s">
        <v>29</v>
      </c>
      <c r="E1212" s="26" t="n">
        <v>22</v>
      </c>
    </row>
    <row r="1213" customFormat="false" ht="15" hidden="false" customHeight="false" outlineLevel="0" collapsed="false">
      <c r="A1213" s="25" t="n">
        <v>46259</v>
      </c>
      <c r="B1213" s="26" t="s">
        <v>18</v>
      </c>
      <c r="C1213" s="26" t="s">
        <v>73</v>
      </c>
      <c r="D1213" s="26" t="s">
        <v>31</v>
      </c>
      <c r="E1213" s="26" t="n">
        <v>89</v>
      </c>
    </row>
    <row r="1214" customFormat="false" ht="15" hidden="false" customHeight="false" outlineLevel="0" collapsed="false">
      <c r="A1214" s="25" t="n">
        <v>46259</v>
      </c>
      <c r="B1214" s="26" t="s">
        <v>18</v>
      </c>
      <c r="C1214" s="26" t="s">
        <v>73</v>
      </c>
      <c r="D1214" s="26" t="s">
        <v>27</v>
      </c>
      <c r="E1214" s="26" t="n">
        <v>53</v>
      </c>
    </row>
    <row r="1215" customFormat="false" ht="15" hidden="false" customHeight="false" outlineLevel="0" collapsed="false">
      <c r="A1215" s="25" t="n">
        <v>46259</v>
      </c>
      <c r="B1215" s="26" t="s">
        <v>18</v>
      </c>
      <c r="C1215" s="26" t="s">
        <v>74</v>
      </c>
      <c r="D1215" s="26" t="s">
        <v>28</v>
      </c>
      <c r="E1215" s="26" t="n">
        <v>28</v>
      </c>
    </row>
    <row r="1216" customFormat="false" ht="15" hidden="false" customHeight="false" outlineLevel="0" collapsed="false">
      <c r="A1216" s="25" t="n">
        <v>46259</v>
      </c>
      <c r="B1216" s="26" t="s">
        <v>18</v>
      </c>
      <c r="C1216" s="26" t="s">
        <v>74</v>
      </c>
      <c r="D1216" s="26" t="s">
        <v>27</v>
      </c>
      <c r="E1216" s="26" t="n">
        <v>13</v>
      </c>
    </row>
    <row r="1217" customFormat="false" ht="15" hidden="false" customHeight="false" outlineLevel="0" collapsed="false">
      <c r="A1217" s="25" t="n">
        <v>46259</v>
      </c>
      <c r="B1217" s="26" t="s">
        <v>18</v>
      </c>
      <c r="C1217" s="26" t="s">
        <v>74</v>
      </c>
      <c r="D1217" s="26" t="s">
        <v>27</v>
      </c>
      <c r="E1217" s="26" t="n">
        <v>47</v>
      </c>
    </row>
    <row r="1218" customFormat="false" ht="15" hidden="false" customHeight="false" outlineLevel="0" collapsed="false">
      <c r="A1218" s="25" t="n">
        <v>46260</v>
      </c>
      <c r="B1218" s="26" t="s">
        <v>16</v>
      </c>
      <c r="C1218" s="26" t="s">
        <v>72</v>
      </c>
      <c r="D1218" s="26" t="s">
        <v>26</v>
      </c>
      <c r="E1218" s="26" t="n">
        <v>29</v>
      </c>
    </row>
    <row r="1219" customFormat="false" ht="15" hidden="false" customHeight="false" outlineLevel="0" collapsed="false">
      <c r="A1219" s="25" t="n">
        <v>46260</v>
      </c>
      <c r="B1219" s="26" t="s">
        <v>16</v>
      </c>
      <c r="C1219" s="26" t="s">
        <v>72</v>
      </c>
      <c r="D1219" s="26" t="s">
        <v>27</v>
      </c>
      <c r="E1219" s="26" t="n">
        <v>31</v>
      </c>
    </row>
    <row r="1220" customFormat="false" ht="15" hidden="false" customHeight="false" outlineLevel="0" collapsed="false">
      <c r="A1220" s="25" t="n">
        <v>46260</v>
      </c>
      <c r="B1220" s="26" t="s">
        <v>16</v>
      </c>
      <c r="C1220" s="26" t="s">
        <v>72</v>
      </c>
      <c r="D1220" s="26" t="s">
        <v>31</v>
      </c>
      <c r="E1220" s="26" t="n">
        <v>47</v>
      </c>
    </row>
    <row r="1221" customFormat="false" ht="15" hidden="false" customHeight="false" outlineLevel="0" collapsed="false">
      <c r="A1221" s="25" t="n">
        <v>46260</v>
      </c>
      <c r="B1221" s="26" t="s">
        <v>16</v>
      </c>
      <c r="C1221" s="26" t="s">
        <v>73</v>
      </c>
      <c r="D1221" s="26" t="s">
        <v>27</v>
      </c>
      <c r="E1221" s="26" t="n">
        <v>32</v>
      </c>
    </row>
    <row r="1222" customFormat="false" ht="15" hidden="false" customHeight="false" outlineLevel="0" collapsed="false">
      <c r="A1222" s="25" t="n">
        <v>46260</v>
      </c>
      <c r="B1222" s="26" t="s">
        <v>16</v>
      </c>
      <c r="C1222" s="26" t="s">
        <v>73</v>
      </c>
      <c r="D1222" s="26" t="s">
        <v>27</v>
      </c>
      <c r="E1222" s="26" t="n">
        <v>16</v>
      </c>
    </row>
    <row r="1223" customFormat="false" ht="15" hidden="false" customHeight="false" outlineLevel="0" collapsed="false">
      <c r="A1223" s="25" t="n">
        <v>46260</v>
      </c>
      <c r="B1223" s="26" t="s">
        <v>16</v>
      </c>
      <c r="C1223" s="26" t="s">
        <v>73</v>
      </c>
      <c r="D1223" s="26" t="s">
        <v>31</v>
      </c>
      <c r="E1223" s="26" t="n">
        <v>68</v>
      </c>
    </row>
    <row r="1224" customFormat="false" ht="15" hidden="false" customHeight="false" outlineLevel="0" collapsed="false">
      <c r="A1224" s="25" t="n">
        <v>46260</v>
      </c>
      <c r="B1224" s="26" t="s">
        <v>16</v>
      </c>
      <c r="C1224" s="26" t="s">
        <v>73</v>
      </c>
      <c r="D1224" s="26" t="s">
        <v>27</v>
      </c>
      <c r="E1224" s="26" t="n">
        <v>24</v>
      </c>
    </row>
    <row r="1225" customFormat="false" ht="15" hidden="false" customHeight="false" outlineLevel="0" collapsed="false">
      <c r="A1225" s="25" t="n">
        <v>46260</v>
      </c>
      <c r="B1225" s="26" t="s">
        <v>16</v>
      </c>
      <c r="C1225" s="26" t="s">
        <v>73</v>
      </c>
      <c r="D1225" s="26" t="s">
        <v>32</v>
      </c>
      <c r="E1225" s="26" t="n">
        <v>19</v>
      </c>
    </row>
    <row r="1226" customFormat="false" ht="15" hidden="false" customHeight="false" outlineLevel="0" collapsed="false">
      <c r="A1226" s="25" t="n">
        <v>46260</v>
      </c>
      <c r="B1226" s="26" t="s">
        <v>16</v>
      </c>
      <c r="C1226" s="26" t="s">
        <v>73</v>
      </c>
      <c r="D1226" s="26" t="s">
        <v>32</v>
      </c>
      <c r="E1226" s="26" t="n">
        <v>12</v>
      </c>
    </row>
    <row r="1227" customFormat="false" ht="15" hidden="false" customHeight="false" outlineLevel="0" collapsed="false">
      <c r="A1227" s="25" t="n">
        <v>46260</v>
      </c>
      <c r="B1227" s="26" t="s">
        <v>16</v>
      </c>
      <c r="C1227" s="26" t="s">
        <v>74</v>
      </c>
      <c r="D1227" s="26" t="s">
        <v>30</v>
      </c>
      <c r="E1227" s="26" t="n">
        <v>27</v>
      </c>
    </row>
    <row r="1228" customFormat="false" ht="15" hidden="false" customHeight="false" outlineLevel="0" collapsed="false">
      <c r="A1228" s="25" t="n">
        <v>46260</v>
      </c>
      <c r="B1228" s="26" t="s">
        <v>16</v>
      </c>
      <c r="C1228" s="26" t="s">
        <v>74</v>
      </c>
      <c r="D1228" s="26" t="s">
        <v>31</v>
      </c>
      <c r="E1228" s="26" t="n">
        <v>52</v>
      </c>
    </row>
    <row r="1229" customFormat="false" ht="15" hidden="false" customHeight="false" outlineLevel="0" collapsed="false">
      <c r="A1229" s="25" t="n">
        <v>46260</v>
      </c>
      <c r="B1229" s="26" t="s">
        <v>16</v>
      </c>
      <c r="C1229" s="26" t="s">
        <v>74</v>
      </c>
      <c r="D1229" s="26" t="s">
        <v>26</v>
      </c>
      <c r="E1229" s="26" t="n">
        <v>46</v>
      </c>
    </row>
    <row r="1230" customFormat="false" ht="15" hidden="false" customHeight="false" outlineLevel="0" collapsed="false">
      <c r="A1230" s="25" t="n">
        <v>46260</v>
      </c>
      <c r="B1230" s="26" t="s">
        <v>17</v>
      </c>
      <c r="C1230" s="26" t="s">
        <v>72</v>
      </c>
      <c r="D1230" s="26" t="s">
        <v>26</v>
      </c>
      <c r="E1230" s="26" t="n">
        <v>39</v>
      </c>
    </row>
    <row r="1231" customFormat="false" ht="15" hidden="false" customHeight="false" outlineLevel="0" collapsed="false">
      <c r="A1231" s="25" t="n">
        <v>46260</v>
      </c>
      <c r="B1231" s="26" t="s">
        <v>17</v>
      </c>
      <c r="C1231" s="26" t="s">
        <v>72</v>
      </c>
      <c r="D1231" s="26" t="s">
        <v>26</v>
      </c>
      <c r="E1231" s="26" t="n">
        <v>14</v>
      </c>
    </row>
    <row r="1232" customFormat="false" ht="15" hidden="false" customHeight="false" outlineLevel="0" collapsed="false">
      <c r="A1232" s="25" t="n">
        <v>46260</v>
      </c>
      <c r="B1232" s="26" t="s">
        <v>17</v>
      </c>
      <c r="C1232" s="26" t="s">
        <v>72</v>
      </c>
      <c r="D1232" s="26" t="s">
        <v>26</v>
      </c>
      <c r="E1232" s="26" t="n">
        <v>36</v>
      </c>
    </row>
    <row r="1233" customFormat="false" ht="15" hidden="false" customHeight="false" outlineLevel="0" collapsed="false">
      <c r="A1233" s="25" t="n">
        <v>46260</v>
      </c>
      <c r="B1233" s="26" t="s">
        <v>17</v>
      </c>
      <c r="C1233" s="26" t="s">
        <v>72</v>
      </c>
      <c r="D1233" s="26" t="s">
        <v>26</v>
      </c>
      <c r="E1233" s="26" t="n">
        <v>24</v>
      </c>
    </row>
    <row r="1234" customFormat="false" ht="15" hidden="false" customHeight="false" outlineLevel="0" collapsed="false">
      <c r="A1234" s="25" t="n">
        <v>46260</v>
      </c>
      <c r="B1234" s="26" t="s">
        <v>17</v>
      </c>
      <c r="C1234" s="26" t="s">
        <v>72</v>
      </c>
      <c r="D1234" s="26" t="s">
        <v>27</v>
      </c>
      <c r="E1234" s="26" t="n">
        <v>20</v>
      </c>
    </row>
    <row r="1235" customFormat="false" ht="15" hidden="false" customHeight="false" outlineLevel="0" collapsed="false">
      <c r="A1235" s="25" t="n">
        <v>46260</v>
      </c>
      <c r="B1235" s="26" t="s">
        <v>17</v>
      </c>
      <c r="C1235" s="26" t="s">
        <v>73</v>
      </c>
      <c r="D1235" s="26" t="s">
        <v>26</v>
      </c>
      <c r="E1235" s="26" t="n">
        <v>18</v>
      </c>
    </row>
    <row r="1236" customFormat="false" ht="15" hidden="false" customHeight="false" outlineLevel="0" collapsed="false">
      <c r="A1236" s="25" t="n">
        <v>46260</v>
      </c>
      <c r="B1236" s="26" t="s">
        <v>17</v>
      </c>
      <c r="C1236" s="26" t="s">
        <v>73</v>
      </c>
      <c r="D1236" s="26" t="s">
        <v>26</v>
      </c>
      <c r="E1236" s="26" t="n">
        <v>29</v>
      </c>
    </row>
    <row r="1237" customFormat="false" ht="15" hidden="false" customHeight="false" outlineLevel="0" collapsed="false">
      <c r="A1237" s="25" t="n">
        <v>46260</v>
      </c>
      <c r="B1237" s="26" t="s">
        <v>17</v>
      </c>
      <c r="C1237" s="26" t="s">
        <v>73</v>
      </c>
      <c r="D1237" s="26" t="s">
        <v>26</v>
      </c>
      <c r="E1237" s="26" t="n">
        <v>45</v>
      </c>
    </row>
    <row r="1238" customFormat="false" ht="15" hidden="false" customHeight="false" outlineLevel="0" collapsed="false">
      <c r="A1238" s="25" t="n">
        <v>46260</v>
      </c>
      <c r="B1238" s="26" t="s">
        <v>17</v>
      </c>
      <c r="C1238" s="26" t="s">
        <v>73</v>
      </c>
      <c r="D1238" s="26" t="s">
        <v>27</v>
      </c>
      <c r="E1238" s="26" t="n">
        <v>25</v>
      </c>
    </row>
    <row r="1239" customFormat="false" ht="15" hidden="false" customHeight="false" outlineLevel="0" collapsed="false">
      <c r="A1239" s="25" t="n">
        <v>46260</v>
      </c>
      <c r="B1239" s="26" t="s">
        <v>17</v>
      </c>
      <c r="C1239" s="26" t="s">
        <v>74</v>
      </c>
      <c r="D1239" s="26" t="s">
        <v>28</v>
      </c>
      <c r="E1239" s="26" t="n">
        <v>21</v>
      </c>
    </row>
    <row r="1240" customFormat="false" ht="15" hidden="false" customHeight="false" outlineLevel="0" collapsed="false">
      <c r="A1240" s="25" t="n">
        <v>46260</v>
      </c>
      <c r="B1240" s="26" t="s">
        <v>18</v>
      </c>
      <c r="C1240" s="26" t="s">
        <v>72</v>
      </c>
      <c r="D1240" s="26" t="s">
        <v>26</v>
      </c>
      <c r="E1240" s="26" t="n">
        <v>38</v>
      </c>
    </row>
    <row r="1241" customFormat="false" ht="15" hidden="false" customHeight="false" outlineLevel="0" collapsed="false">
      <c r="A1241" s="25" t="n">
        <v>46260</v>
      </c>
      <c r="B1241" s="26" t="s">
        <v>18</v>
      </c>
      <c r="C1241" s="26" t="s">
        <v>72</v>
      </c>
      <c r="D1241" s="26" t="s">
        <v>28</v>
      </c>
      <c r="E1241" s="26" t="n">
        <v>18</v>
      </c>
    </row>
    <row r="1242" customFormat="false" ht="15" hidden="false" customHeight="false" outlineLevel="0" collapsed="false">
      <c r="A1242" s="25" t="n">
        <v>46260</v>
      </c>
      <c r="B1242" s="26" t="s">
        <v>18</v>
      </c>
      <c r="C1242" s="26" t="s">
        <v>72</v>
      </c>
      <c r="D1242" s="26" t="s">
        <v>28</v>
      </c>
      <c r="E1242" s="26" t="n">
        <v>75</v>
      </c>
    </row>
    <row r="1243" customFormat="false" ht="15" hidden="false" customHeight="false" outlineLevel="0" collapsed="false">
      <c r="A1243" s="25" t="n">
        <v>46260</v>
      </c>
      <c r="B1243" s="26" t="s">
        <v>18</v>
      </c>
      <c r="C1243" s="26" t="s">
        <v>74</v>
      </c>
      <c r="D1243" s="26" t="s">
        <v>26</v>
      </c>
      <c r="E1243" s="26" t="n">
        <v>29</v>
      </c>
    </row>
    <row r="1244" customFormat="false" ht="15" hidden="false" customHeight="false" outlineLevel="0" collapsed="false">
      <c r="A1244" s="25" t="n">
        <v>46261</v>
      </c>
      <c r="B1244" s="26" t="s">
        <v>16</v>
      </c>
      <c r="C1244" s="26" t="s">
        <v>72</v>
      </c>
      <c r="D1244" s="26" t="s">
        <v>27</v>
      </c>
      <c r="E1244" s="26" t="n">
        <v>54</v>
      </c>
    </row>
    <row r="1245" customFormat="false" ht="15" hidden="false" customHeight="false" outlineLevel="0" collapsed="false">
      <c r="A1245" s="25" t="n">
        <v>46261</v>
      </c>
      <c r="B1245" s="26" t="s">
        <v>16</v>
      </c>
      <c r="C1245" s="26" t="s">
        <v>73</v>
      </c>
      <c r="D1245" s="26" t="s">
        <v>26</v>
      </c>
      <c r="E1245" s="26" t="n">
        <v>40</v>
      </c>
    </row>
    <row r="1246" customFormat="false" ht="15" hidden="false" customHeight="false" outlineLevel="0" collapsed="false">
      <c r="A1246" s="25" t="n">
        <v>46261</v>
      </c>
      <c r="B1246" s="26" t="s">
        <v>16</v>
      </c>
      <c r="C1246" s="26" t="s">
        <v>73</v>
      </c>
      <c r="D1246" s="26" t="s">
        <v>29</v>
      </c>
      <c r="E1246" s="26" t="n">
        <v>12</v>
      </c>
    </row>
    <row r="1247" customFormat="false" ht="15" hidden="false" customHeight="false" outlineLevel="0" collapsed="false">
      <c r="A1247" s="25" t="n">
        <v>46261</v>
      </c>
      <c r="B1247" s="26" t="s">
        <v>16</v>
      </c>
      <c r="C1247" s="26" t="s">
        <v>73</v>
      </c>
      <c r="D1247" s="26" t="s">
        <v>31</v>
      </c>
      <c r="E1247" s="26" t="n">
        <v>39</v>
      </c>
    </row>
    <row r="1248" customFormat="false" ht="15" hidden="false" customHeight="false" outlineLevel="0" collapsed="false">
      <c r="A1248" s="25" t="n">
        <v>46261</v>
      </c>
      <c r="B1248" s="26" t="s">
        <v>16</v>
      </c>
      <c r="C1248" s="26" t="s">
        <v>74</v>
      </c>
      <c r="D1248" s="26" t="s">
        <v>26</v>
      </c>
      <c r="E1248" s="26" t="n">
        <v>19</v>
      </c>
    </row>
    <row r="1249" customFormat="false" ht="15" hidden="false" customHeight="false" outlineLevel="0" collapsed="false">
      <c r="A1249" s="25" t="n">
        <v>46261</v>
      </c>
      <c r="B1249" s="26" t="s">
        <v>17</v>
      </c>
      <c r="C1249" s="26" t="s">
        <v>72</v>
      </c>
      <c r="D1249" s="26" t="s">
        <v>28</v>
      </c>
      <c r="E1249" s="26" t="n">
        <v>17</v>
      </c>
    </row>
    <row r="1250" customFormat="false" ht="15" hidden="false" customHeight="false" outlineLevel="0" collapsed="false">
      <c r="A1250" s="25" t="n">
        <v>46261</v>
      </c>
      <c r="B1250" s="26" t="s">
        <v>17</v>
      </c>
      <c r="C1250" s="26" t="s">
        <v>72</v>
      </c>
      <c r="D1250" s="26" t="s">
        <v>29</v>
      </c>
      <c r="E1250" s="26" t="n">
        <v>40</v>
      </c>
    </row>
    <row r="1251" customFormat="false" ht="15" hidden="false" customHeight="false" outlineLevel="0" collapsed="false">
      <c r="A1251" s="25" t="n">
        <v>46261</v>
      </c>
      <c r="B1251" s="26" t="s">
        <v>17</v>
      </c>
      <c r="C1251" s="26" t="s">
        <v>73</v>
      </c>
      <c r="D1251" s="26" t="s">
        <v>27</v>
      </c>
      <c r="E1251" s="26" t="n">
        <v>35</v>
      </c>
    </row>
    <row r="1252" customFormat="false" ht="15" hidden="false" customHeight="false" outlineLevel="0" collapsed="false">
      <c r="A1252" s="25" t="n">
        <v>46261</v>
      </c>
      <c r="B1252" s="26" t="s">
        <v>17</v>
      </c>
      <c r="C1252" s="26" t="s">
        <v>73</v>
      </c>
      <c r="D1252" s="26" t="s">
        <v>30</v>
      </c>
      <c r="E1252" s="26" t="n">
        <v>12</v>
      </c>
    </row>
    <row r="1253" customFormat="false" ht="15" hidden="false" customHeight="false" outlineLevel="0" collapsed="false">
      <c r="A1253" s="25" t="n">
        <v>46261</v>
      </c>
      <c r="B1253" s="26" t="s">
        <v>17</v>
      </c>
      <c r="C1253" s="26" t="s">
        <v>73</v>
      </c>
      <c r="D1253" s="26" t="s">
        <v>28</v>
      </c>
      <c r="E1253" s="26" t="n">
        <v>81</v>
      </c>
    </row>
    <row r="1254" customFormat="false" ht="15" hidden="false" customHeight="false" outlineLevel="0" collapsed="false">
      <c r="A1254" s="25" t="n">
        <v>46261</v>
      </c>
      <c r="B1254" s="26" t="s">
        <v>18</v>
      </c>
      <c r="C1254" s="26" t="s">
        <v>72</v>
      </c>
      <c r="D1254" s="26" t="s">
        <v>29</v>
      </c>
      <c r="E1254" s="26" t="n">
        <v>18</v>
      </c>
    </row>
    <row r="1255" customFormat="false" ht="15" hidden="false" customHeight="false" outlineLevel="0" collapsed="false">
      <c r="A1255" s="25" t="n">
        <v>46261</v>
      </c>
      <c r="B1255" s="26" t="s">
        <v>18</v>
      </c>
      <c r="C1255" s="26" t="s">
        <v>72</v>
      </c>
      <c r="D1255" s="26" t="s">
        <v>29</v>
      </c>
      <c r="E1255" s="26" t="n">
        <v>11</v>
      </c>
    </row>
    <row r="1256" customFormat="false" ht="15" hidden="false" customHeight="false" outlineLevel="0" collapsed="false">
      <c r="A1256" s="25" t="n">
        <v>46261</v>
      </c>
      <c r="B1256" s="26" t="s">
        <v>18</v>
      </c>
      <c r="C1256" s="26" t="s">
        <v>72</v>
      </c>
      <c r="D1256" s="26" t="s">
        <v>29</v>
      </c>
      <c r="E1256" s="26" t="n">
        <v>15</v>
      </c>
    </row>
    <row r="1257" customFormat="false" ht="15" hidden="false" customHeight="false" outlineLevel="0" collapsed="false">
      <c r="A1257" s="25" t="n">
        <v>46261</v>
      </c>
      <c r="B1257" s="26" t="s">
        <v>18</v>
      </c>
      <c r="C1257" s="26" t="s">
        <v>73</v>
      </c>
      <c r="D1257" s="26" t="s">
        <v>32</v>
      </c>
      <c r="E1257" s="26" t="n">
        <v>8</v>
      </c>
    </row>
    <row r="1258" customFormat="false" ht="15" hidden="false" customHeight="false" outlineLevel="0" collapsed="false">
      <c r="A1258" s="25" t="n">
        <v>46261</v>
      </c>
      <c r="B1258" s="26" t="s">
        <v>18</v>
      </c>
      <c r="C1258" s="26" t="s">
        <v>73</v>
      </c>
      <c r="D1258" s="26" t="s">
        <v>28</v>
      </c>
      <c r="E1258" s="26" t="n">
        <v>93</v>
      </c>
    </row>
    <row r="1259" customFormat="false" ht="15" hidden="false" customHeight="false" outlineLevel="0" collapsed="false">
      <c r="A1259" s="25" t="n">
        <v>46261</v>
      </c>
      <c r="B1259" s="26" t="s">
        <v>18</v>
      </c>
      <c r="C1259" s="26" t="s">
        <v>73</v>
      </c>
      <c r="D1259" s="26" t="s">
        <v>32</v>
      </c>
      <c r="E1259" s="26" t="n">
        <v>8</v>
      </c>
    </row>
    <row r="1260" customFormat="false" ht="15" hidden="false" customHeight="false" outlineLevel="0" collapsed="false">
      <c r="A1260" s="25" t="n">
        <v>46261</v>
      </c>
      <c r="B1260" s="26" t="s">
        <v>18</v>
      </c>
      <c r="C1260" s="26" t="s">
        <v>74</v>
      </c>
      <c r="D1260" s="26" t="s">
        <v>26</v>
      </c>
      <c r="E1260" s="26" t="n">
        <v>31</v>
      </c>
    </row>
    <row r="1261" customFormat="false" ht="15" hidden="false" customHeight="false" outlineLevel="0" collapsed="false">
      <c r="A1261" s="25" t="n">
        <v>46261</v>
      </c>
      <c r="B1261" s="26" t="s">
        <v>18</v>
      </c>
      <c r="C1261" s="26" t="s">
        <v>74</v>
      </c>
      <c r="D1261" s="26" t="s">
        <v>30</v>
      </c>
      <c r="E1261" s="26" t="n">
        <v>32</v>
      </c>
    </row>
    <row r="1262" customFormat="false" ht="15" hidden="false" customHeight="false" outlineLevel="0" collapsed="false">
      <c r="A1262" s="25" t="n">
        <v>46262</v>
      </c>
      <c r="B1262" s="26" t="s">
        <v>16</v>
      </c>
      <c r="C1262" s="26" t="s">
        <v>72</v>
      </c>
      <c r="D1262" s="26" t="s">
        <v>31</v>
      </c>
      <c r="E1262" s="26" t="n">
        <v>64</v>
      </c>
    </row>
    <row r="1263" customFormat="false" ht="15" hidden="false" customHeight="false" outlineLevel="0" collapsed="false">
      <c r="A1263" s="25" t="n">
        <v>46262</v>
      </c>
      <c r="B1263" s="26" t="s">
        <v>16</v>
      </c>
      <c r="C1263" s="26" t="s">
        <v>72</v>
      </c>
      <c r="D1263" s="26" t="s">
        <v>31</v>
      </c>
      <c r="E1263" s="26" t="n">
        <v>71</v>
      </c>
    </row>
    <row r="1264" customFormat="false" ht="15" hidden="false" customHeight="false" outlineLevel="0" collapsed="false">
      <c r="A1264" s="25" t="n">
        <v>46262</v>
      </c>
      <c r="B1264" s="26" t="s">
        <v>16</v>
      </c>
      <c r="C1264" s="26" t="s">
        <v>72</v>
      </c>
      <c r="D1264" s="26" t="s">
        <v>29</v>
      </c>
      <c r="E1264" s="26" t="n">
        <v>11</v>
      </c>
    </row>
    <row r="1265" customFormat="false" ht="15" hidden="false" customHeight="false" outlineLevel="0" collapsed="false">
      <c r="A1265" s="25" t="n">
        <v>46262</v>
      </c>
      <c r="B1265" s="26" t="s">
        <v>16</v>
      </c>
      <c r="C1265" s="26" t="s">
        <v>72</v>
      </c>
      <c r="D1265" s="26" t="s">
        <v>28</v>
      </c>
      <c r="E1265" s="26" t="n">
        <v>14</v>
      </c>
    </row>
    <row r="1266" customFormat="false" ht="15" hidden="false" customHeight="false" outlineLevel="0" collapsed="false">
      <c r="A1266" s="25" t="n">
        <v>46262</v>
      </c>
      <c r="B1266" s="26" t="s">
        <v>16</v>
      </c>
      <c r="C1266" s="26" t="s">
        <v>73</v>
      </c>
      <c r="D1266" s="26" t="s">
        <v>26</v>
      </c>
      <c r="E1266" s="26" t="n">
        <v>31</v>
      </c>
    </row>
    <row r="1267" customFormat="false" ht="15" hidden="false" customHeight="false" outlineLevel="0" collapsed="false">
      <c r="A1267" s="25" t="n">
        <v>46262</v>
      </c>
      <c r="B1267" s="26" t="s">
        <v>17</v>
      </c>
      <c r="C1267" s="26" t="s">
        <v>72</v>
      </c>
      <c r="D1267" s="26" t="s">
        <v>26</v>
      </c>
      <c r="E1267" s="26" t="n">
        <v>37</v>
      </c>
    </row>
    <row r="1268" customFormat="false" ht="15" hidden="false" customHeight="false" outlineLevel="0" collapsed="false">
      <c r="A1268" s="25" t="n">
        <v>46262</v>
      </c>
      <c r="B1268" s="26" t="s">
        <v>17</v>
      </c>
      <c r="C1268" s="26" t="s">
        <v>73</v>
      </c>
      <c r="D1268" s="26" t="s">
        <v>26</v>
      </c>
      <c r="E1268" s="26" t="n">
        <v>55</v>
      </c>
    </row>
    <row r="1269" customFormat="false" ht="15" hidden="false" customHeight="false" outlineLevel="0" collapsed="false">
      <c r="A1269" s="25" t="n">
        <v>46262</v>
      </c>
      <c r="B1269" s="26" t="s">
        <v>17</v>
      </c>
      <c r="C1269" s="26" t="s">
        <v>73</v>
      </c>
      <c r="D1269" s="26" t="s">
        <v>31</v>
      </c>
      <c r="E1269" s="26" t="n">
        <v>36</v>
      </c>
    </row>
    <row r="1270" customFormat="false" ht="15" hidden="false" customHeight="false" outlineLevel="0" collapsed="false">
      <c r="A1270" s="25" t="n">
        <v>46262</v>
      </c>
      <c r="B1270" s="26" t="s">
        <v>17</v>
      </c>
      <c r="C1270" s="26" t="s">
        <v>73</v>
      </c>
      <c r="D1270" s="26" t="s">
        <v>28</v>
      </c>
      <c r="E1270" s="26" t="n">
        <v>120</v>
      </c>
    </row>
    <row r="1271" customFormat="false" ht="15" hidden="false" customHeight="false" outlineLevel="0" collapsed="false">
      <c r="A1271" s="25" t="n">
        <v>46262</v>
      </c>
      <c r="B1271" s="26" t="s">
        <v>17</v>
      </c>
      <c r="C1271" s="26" t="s">
        <v>74</v>
      </c>
      <c r="D1271" s="26" t="s">
        <v>27</v>
      </c>
      <c r="E1271" s="26" t="n">
        <v>52</v>
      </c>
    </row>
    <row r="1272" customFormat="false" ht="15" hidden="false" customHeight="false" outlineLevel="0" collapsed="false">
      <c r="A1272" s="25" t="n">
        <v>46262</v>
      </c>
      <c r="B1272" s="26" t="s">
        <v>18</v>
      </c>
      <c r="C1272" s="26" t="s">
        <v>72</v>
      </c>
      <c r="D1272" s="26" t="s">
        <v>26</v>
      </c>
      <c r="E1272" s="26" t="n">
        <v>28</v>
      </c>
    </row>
    <row r="1273" customFormat="false" ht="15" hidden="false" customHeight="false" outlineLevel="0" collapsed="false">
      <c r="A1273" s="25" t="n">
        <v>46262</v>
      </c>
      <c r="B1273" s="26" t="s">
        <v>18</v>
      </c>
      <c r="C1273" s="26" t="s">
        <v>73</v>
      </c>
      <c r="D1273" s="26" t="s">
        <v>30</v>
      </c>
      <c r="E1273" s="26" t="n">
        <v>31</v>
      </c>
    </row>
    <row r="1274" customFormat="false" ht="15" hidden="false" customHeight="false" outlineLevel="0" collapsed="false">
      <c r="A1274" s="25" t="n">
        <v>46262</v>
      </c>
      <c r="B1274" s="26" t="s">
        <v>18</v>
      </c>
      <c r="C1274" s="26" t="s">
        <v>73</v>
      </c>
      <c r="D1274" s="26" t="s">
        <v>27</v>
      </c>
      <c r="E1274" s="26" t="n">
        <v>43</v>
      </c>
    </row>
    <row r="1275" customFormat="false" ht="15" hidden="false" customHeight="false" outlineLevel="0" collapsed="false">
      <c r="A1275" s="25" t="n">
        <v>46262</v>
      </c>
      <c r="B1275" s="26" t="s">
        <v>18</v>
      </c>
      <c r="C1275" s="26" t="s">
        <v>73</v>
      </c>
      <c r="D1275" s="26" t="s">
        <v>28</v>
      </c>
      <c r="E1275" s="26" t="n">
        <v>29</v>
      </c>
    </row>
    <row r="1276" customFormat="false" ht="15" hidden="false" customHeight="false" outlineLevel="0" collapsed="false">
      <c r="A1276" s="25" t="n">
        <v>46262</v>
      </c>
      <c r="B1276" s="26" t="s">
        <v>18</v>
      </c>
      <c r="C1276" s="26" t="s">
        <v>73</v>
      </c>
      <c r="D1276" s="26" t="s">
        <v>27</v>
      </c>
      <c r="E1276" s="26" t="n">
        <v>20</v>
      </c>
    </row>
    <row r="1277" customFormat="false" ht="15" hidden="false" customHeight="false" outlineLevel="0" collapsed="false">
      <c r="A1277" s="25" t="n">
        <v>46262</v>
      </c>
      <c r="B1277" s="26" t="s">
        <v>18</v>
      </c>
      <c r="C1277" s="26" t="s">
        <v>74</v>
      </c>
      <c r="D1277" s="26" t="s">
        <v>26</v>
      </c>
      <c r="E1277" s="26" t="n">
        <v>29</v>
      </c>
    </row>
    <row r="1278" customFormat="false" ht="15" hidden="false" customHeight="false" outlineLevel="0" collapsed="false">
      <c r="A1278" s="25" t="n">
        <v>46262</v>
      </c>
      <c r="B1278" s="26" t="s">
        <v>18</v>
      </c>
      <c r="C1278" s="26" t="s">
        <v>74</v>
      </c>
      <c r="D1278" s="26" t="s">
        <v>28</v>
      </c>
      <c r="E1278" s="26" t="n">
        <v>50</v>
      </c>
    </row>
    <row r="1279" customFormat="false" ht="15" hidden="false" customHeight="false" outlineLevel="0" collapsed="false">
      <c r="A1279" s="25" t="n">
        <v>46263</v>
      </c>
      <c r="B1279" s="26" t="s">
        <v>16</v>
      </c>
      <c r="C1279" s="26" t="s">
        <v>72</v>
      </c>
      <c r="D1279" s="26" t="s">
        <v>29</v>
      </c>
      <c r="E1279" s="26" t="n">
        <v>14</v>
      </c>
    </row>
    <row r="1280" customFormat="false" ht="15" hidden="false" customHeight="false" outlineLevel="0" collapsed="false">
      <c r="A1280" s="25" t="n">
        <v>46263</v>
      </c>
      <c r="B1280" s="26" t="s">
        <v>16</v>
      </c>
      <c r="C1280" s="26" t="s">
        <v>72</v>
      </c>
      <c r="D1280" s="26" t="s">
        <v>31</v>
      </c>
      <c r="E1280" s="26" t="n">
        <v>44</v>
      </c>
    </row>
    <row r="1281" customFormat="false" ht="15" hidden="false" customHeight="false" outlineLevel="0" collapsed="false">
      <c r="A1281" s="25" t="n">
        <v>46263</v>
      </c>
      <c r="B1281" s="26" t="s">
        <v>16</v>
      </c>
      <c r="C1281" s="26" t="s">
        <v>73</v>
      </c>
      <c r="D1281" s="26" t="s">
        <v>30</v>
      </c>
      <c r="E1281" s="26" t="n">
        <v>16</v>
      </c>
    </row>
    <row r="1282" customFormat="false" ht="15" hidden="false" customHeight="false" outlineLevel="0" collapsed="false">
      <c r="A1282" s="25" t="n">
        <v>46263</v>
      </c>
      <c r="B1282" s="26" t="s">
        <v>16</v>
      </c>
      <c r="C1282" s="26" t="s">
        <v>73</v>
      </c>
      <c r="D1282" s="26" t="s">
        <v>32</v>
      </c>
      <c r="E1282" s="26" t="n">
        <v>7</v>
      </c>
    </row>
    <row r="1283" customFormat="false" ht="15" hidden="false" customHeight="false" outlineLevel="0" collapsed="false">
      <c r="A1283" s="25" t="n">
        <v>46263</v>
      </c>
      <c r="B1283" s="26" t="s">
        <v>16</v>
      </c>
      <c r="C1283" s="26" t="s">
        <v>74</v>
      </c>
      <c r="D1283" s="26" t="s">
        <v>26</v>
      </c>
      <c r="E1283" s="26" t="n">
        <v>35</v>
      </c>
    </row>
    <row r="1284" customFormat="false" ht="15" hidden="false" customHeight="false" outlineLevel="0" collapsed="false">
      <c r="A1284" s="25" t="n">
        <v>46263</v>
      </c>
      <c r="B1284" s="26" t="s">
        <v>16</v>
      </c>
      <c r="C1284" s="26" t="s">
        <v>74</v>
      </c>
      <c r="D1284" s="26" t="s">
        <v>28</v>
      </c>
      <c r="E1284" s="26" t="n">
        <v>77</v>
      </c>
    </row>
    <row r="1285" customFormat="false" ht="15" hidden="false" customHeight="false" outlineLevel="0" collapsed="false">
      <c r="A1285" s="25" t="n">
        <v>46263</v>
      </c>
      <c r="B1285" s="26" t="s">
        <v>16</v>
      </c>
      <c r="C1285" s="26" t="s">
        <v>74</v>
      </c>
      <c r="D1285" s="26" t="s">
        <v>27</v>
      </c>
      <c r="E1285" s="26" t="n">
        <v>52</v>
      </c>
    </row>
    <row r="1286" customFormat="false" ht="15" hidden="false" customHeight="false" outlineLevel="0" collapsed="false">
      <c r="A1286" s="25" t="n">
        <v>46263</v>
      </c>
      <c r="B1286" s="26" t="s">
        <v>17</v>
      </c>
      <c r="C1286" s="26" t="s">
        <v>72</v>
      </c>
      <c r="D1286" s="26" t="s">
        <v>28</v>
      </c>
      <c r="E1286" s="26" t="n">
        <v>5</v>
      </c>
    </row>
    <row r="1287" customFormat="false" ht="15" hidden="false" customHeight="false" outlineLevel="0" collapsed="false">
      <c r="A1287" s="25" t="n">
        <v>46263</v>
      </c>
      <c r="B1287" s="26" t="s">
        <v>17</v>
      </c>
      <c r="C1287" s="26" t="s">
        <v>72</v>
      </c>
      <c r="D1287" s="26" t="s">
        <v>30</v>
      </c>
      <c r="E1287" s="26" t="n">
        <v>61</v>
      </c>
    </row>
    <row r="1288" customFormat="false" ht="15" hidden="false" customHeight="false" outlineLevel="0" collapsed="false">
      <c r="A1288" s="25" t="n">
        <v>46263</v>
      </c>
      <c r="B1288" s="26" t="s">
        <v>17</v>
      </c>
      <c r="C1288" s="26" t="s">
        <v>73</v>
      </c>
      <c r="D1288" s="26" t="s">
        <v>27</v>
      </c>
      <c r="E1288" s="26" t="n">
        <v>42</v>
      </c>
    </row>
    <row r="1289" customFormat="false" ht="15" hidden="false" customHeight="false" outlineLevel="0" collapsed="false">
      <c r="A1289" s="25" t="n">
        <v>46263</v>
      </c>
      <c r="B1289" s="26" t="s">
        <v>17</v>
      </c>
      <c r="C1289" s="26" t="s">
        <v>73</v>
      </c>
      <c r="D1289" s="26" t="s">
        <v>26</v>
      </c>
      <c r="E1289" s="26" t="n">
        <v>34</v>
      </c>
    </row>
    <row r="1290" customFormat="false" ht="15" hidden="false" customHeight="false" outlineLevel="0" collapsed="false">
      <c r="A1290" s="25" t="n">
        <v>46263</v>
      </c>
      <c r="B1290" s="26" t="s">
        <v>17</v>
      </c>
      <c r="C1290" s="26" t="s">
        <v>73</v>
      </c>
      <c r="D1290" s="26" t="s">
        <v>29</v>
      </c>
      <c r="E1290" s="26" t="n">
        <v>35</v>
      </c>
    </row>
    <row r="1291" customFormat="false" ht="15" hidden="false" customHeight="false" outlineLevel="0" collapsed="false">
      <c r="A1291" s="25" t="n">
        <v>46263</v>
      </c>
      <c r="B1291" s="26" t="s">
        <v>17</v>
      </c>
      <c r="C1291" s="26" t="s">
        <v>74</v>
      </c>
      <c r="D1291" s="26" t="s">
        <v>27</v>
      </c>
      <c r="E1291" s="26" t="n">
        <v>22</v>
      </c>
    </row>
    <row r="1292" customFormat="false" ht="15" hidden="false" customHeight="false" outlineLevel="0" collapsed="false">
      <c r="A1292" s="25" t="n">
        <v>46263</v>
      </c>
      <c r="B1292" s="26" t="s">
        <v>17</v>
      </c>
      <c r="C1292" s="26" t="s">
        <v>74</v>
      </c>
      <c r="D1292" s="26" t="s">
        <v>26</v>
      </c>
      <c r="E1292" s="26" t="n">
        <v>40</v>
      </c>
    </row>
    <row r="1293" customFormat="false" ht="15" hidden="false" customHeight="false" outlineLevel="0" collapsed="false">
      <c r="A1293" s="25" t="n">
        <v>46263</v>
      </c>
      <c r="B1293" s="26" t="s">
        <v>17</v>
      </c>
      <c r="C1293" s="26" t="s">
        <v>74</v>
      </c>
      <c r="D1293" s="26" t="s">
        <v>31</v>
      </c>
      <c r="E1293" s="26" t="n">
        <v>41</v>
      </c>
    </row>
    <row r="1294" customFormat="false" ht="15" hidden="false" customHeight="false" outlineLevel="0" collapsed="false">
      <c r="A1294" s="25" t="n">
        <v>46263</v>
      </c>
      <c r="B1294" s="26" t="s">
        <v>18</v>
      </c>
      <c r="C1294" s="26" t="s">
        <v>73</v>
      </c>
      <c r="D1294" s="26" t="s">
        <v>32</v>
      </c>
      <c r="E1294" s="26" t="n">
        <v>7</v>
      </c>
    </row>
    <row r="1295" customFormat="false" ht="15" hidden="false" customHeight="false" outlineLevel="0" collapsed="false">
      <c r="A1295" s="25" t="n">
        <v>46263</v>
      </c>
      <c r="B1295" s="26" t="s">
        <v>18</v>
      </c>
      <c r="C1295" s="26" t="s">
        <v>73</v>
      </c>
      <c r="D1295" s="26" t="s">
        <v>26</v>
      </c>
      <c r="E1295" s="26" t="n">
        <v>94</v>
      </c>
    </row>
    <row r="1296" customFormat="false" ht="15" hidden="false" customHeight="false" outlineLevel="0" collapsed="false">
      <c r="A1296" s="25" t="n">
        <v>46264</v>
      </c>
      <c r="B1296" s="26" t="s">
        <v>16</v>
      </c>
      <c r="C1296" s="26" t="s">
        <v>72</v>
      </c>
      <c r="D1296" s="26" t="s">
        <v>29</v>
      </c>
      <c r="E1296" s="26" t="n">
        <v>18</v>
      </c>
    </row>
    <row r="1297" customFormat="false" ht="15" hidden="false" customHeight="false" outlineLevel="0" collapsed="false">
      <c r="A1297" s="25" t="n">
        <v>46264</v>
      </c>
      <c r="B1297" s="26" t="s">
        <v>16</v>
      </c>
      <c r="C1297" s="26" t="s">
        <v>73</v>
      </c>
      <c r="D1297" s="26" t="s">
        <v>31</v>
      </c>
      <c r="E1297" s="26" t="n">
        <v>36</v>
      </c>
    </row>
    <row r="1298" customFormat="false" ht="15" hidden="false" customHeight="false" outlineLevel="0" collapsed="false">
      <c r="A1298" s="25" t="n">
        <v>46264</v>
      </c>
      <c r="B1298" s="26" t="s">
        <v>16</v>
      </c>
      <c r="C1298" s="26" t="s">
        <v>73</v>
      </c>
      <c r="D1298" s="26" t="s">
        <v>29</v>
      </c>
      <c r="E1298" s="26" t="n">
        <v>43</v>
      </c>
    </row>
    <row r="1299" customFormat="false" ht="15" hidden="false" customHeight="false" outlineLevel="0" collapsed="false">
      <c r="A1299" s="25" t="n">
        <v>46264</v>
      </c>
      <c r="B1299" s="26" t="s">
        <v>16</v>
      </c>
      <c r="C1299" s="26" t="s">
        <v>73</v>
      </c>
      <c r="D1299" s="26" t="s">
        <v>27</v>
      </c>
      <c r="E1299" s="26" t="n">
        <v>23</v>
      </c>
    </row>
    <row r="1300" customFormat="false" ht="15" hidden="false" customHeight="false" outlineLevel="0" collapsed="false">
      <c r="A1300" s="25" t="n">
        <v>46264</v>
      </c>
      <c r="B1300" s="26" t="s">
        <v>16</v>
      </c>
      <c r="C1300" s="26" t="s">
        <v>74</v>
      </c>
      <c r="D1300" s="26" t="s">
        <v>28</v>
      </c>
      <c r="E1300" s="26" t="n">
        <v>58</v>
      </c>
    </row>
    <row r="1301" customFormat="false" ht="15" hidden="false" customHeight="false" outlineLevel="0" collapsed="false">
      <c r="A1301" s="25" t="n">
        <v>46264</v>
      </c>
      <c r="B1301" s="26" t="s">
        <v>16</v>
      </c>
      <c r="C1301" s="26" t="s">
        <v>74</v>
      </c>
      <c r="D1301" s="26" t="s">
        <v>28</v>
      </c>
      <c r="E1301" s="26" t="n">
        <v>113</v>
      </c>
    </row>
    <row r="1302" customFormat="false" ht="15" hidden="false" customHeight="false" outlineLevel="0" collapsed="false">
      <c r="A1302" s="25" t="n">
        <v>46264</v>
      </c>
      <c r="B1302" s="26" t="s">
        <v>16</v>
      </c>
      <c r="C1302" s="26" t="s">
        <v>74</v>
      </c>
      <c r="D1302" s="26" t="s">
        <v>30</v>
      </c>
      <c r="E1302" s="26" t="n">
        <v>19</v>
      </c>
    </row>
    <row r="1303" customFormat="false" ht="15" hidden="false" customHeight="false" outlineLevel="0" collapsed="false">
      <c r="A1303" s="25" t="n">
        <v>46264</v>
      </c>
      <c r="B1303" s="26" t="s">
        <v>16</v>
      </c>
      <c r="C1303" s="26" t="s">
        <v>74</v>
      </c>
      <c r="D1303" s="26" t="s">
        <v>32</v>
      </c>
      <c r="E1303" s="26" t="n">
        <v>21</v>
      </c>
    </row>
    <row r="1304" customFormat="false" ht="15" hidden="false" customHeight="false" outlineLevel="0" collapsed="false">
      <c r="A1304" s="25" t="n">
        <v>46264</v>
      </c>
      <c r="B1304" s="26" t="s">
        <v>17</v>
      </c>
      <c r="C1304" s="26" t="s">
        <v>72</v>
      </c>
      <c r="D1304" s="26" t="s">
        <v>29</v>
      </c>
      <c r="E1304" s="26" t="n">
        <v>17</v>
      </c>
    </row>
    <row r="1305" customFormat="false" ht="15" hidden="false" customHeight="false" outlineLevel="0" collapsed="false">
      <c r="A1305" s="25" t="n">
        <v>46264</v>
      </c>
      <c r="B1305" s="26" t="s">
        <v>17</v>
      </c>
      <c r="C1305" s="26" t="s">
        <v>72</v>
      </c>
      <c r="D1305" s="26" t="s">
        <v>27</v>
      </c>
      <c r="E1305" s="26" t="n">
        <v>13</v>
      </c>
    </row>
    <row r="1306" customFormat="false" ht="15" hidden="false" customHeight="false" outlineLevel="0" collapsed="false">
      <c r="A1306" s="25" t="n">
        <v>46264</v>
      </c>
      <c r="B1306" s="26" t="s">
        <v>17</v>
      </c>
      <c r="C1306" s="26" t="s">
        <v>72</v>
      </c>
      <c r="D1306" s="26" t="s">
        <v>26</v>
      </c>
      <c r="E1306" s="26" t="n">
        <v>20</v>
      </c>
    </row>
    <row r="1307" customFormat="false" ht="15" hidden="false" customHeight="false" outlineLevel="0" collapsed="false">
      <c r="A1307" s="25" t="n">
        <v>46264</v>
      </c>
      <c r="B1307" s="26" t="s">
        <v>17</v>
      </c>
      <c r="C1307" s="26" t="s">
        <v>73</v>
      </c>
      <c r="D1307" s="26" t="s">
        <v>26</v>
      </c>
      <c r="E1307" s="26" t="n">
        <v>52</v>
      </c>
    </row>
    <row r="1308" customFormat="false" ht="15" hidden="false" customHeight="false" outlineLevel="0" collapsed="false">
      <c r="A1308" s="25" t="n">
        <v>46264</v>
      </c>
      <c r="B1308" s="26" t="s">
        <v>17</v>
      </c>
      <c r="C1308" s="26" t="s">
        <v>73</v>
      </c>
      <c r="D1308" s="26" t="s">
        <v>26</v>
      </c>
      <c r="E1308" s="26" t="n">
        <v>30</v>
      </c>
    </row>
    <row r="1309" customFormat="false" ht="15" hidden="false" customHeight="false" outlineLevel="0" collapsed="false">
      <c r="A1309" s="25" t="n">
        <v>46264</v>
      </c>
      <c r="B1309" s="26" t="s">
        <v>17</v>
      </c>
      <c r="C1309" s="26" t="s">
        <v>73</v>
      </c>
      <c r="D1309" s="26" t="s">
        <v>26</v>
      </c>
      <c r="E1309" s="26" t="n">
        <v>36</v>
      </c>
    </row>
    <row r="1310" customFormat="false" ht="15" hidden="false" customHeight="false" outlineLevel="0" collapsed="false">
      <c r="A1310" s="25" t="n">
        <v>46264</v>
      </c>
      <c r="B1310" s="26" t="s">
        <v>17</v>
      </c>
      <c r="C1310" s="26" t="s">
        <v>73</v>
      </c>
      <c r="D1310" s="26" t="s">
        <v>31</v>
      </c>
      <c r="E1310" s="26" t="n">
        <v>55</v>
      </c>
    </row>
    <row r="1311" customFormat="false" ht="15" hidden="false" customHeight="false" outlineLevel="0" collapsed="false">
      <c r="A1311" s="25" t="n">
        <v>46264</v>
      </c>
      <c r="B1311" s="26" t="s">
        <v>17</v>
      </c>
      <c r="C1311" s="26" t="s">
        <v>74</v>
      </c>
      <c r="D1311" s="26" t="s">
        <v>31</v>
      </c>
      <c r="E1311" s="26" t="n">
        <v>33</v>
      </c>
    </row>
    <row r="1312" customFormat="false" ht="15" hidden="false" customHeight="false" outlineLevel="0" collapsed="false">
      <c r="A1312" s="25" t="n">
        <v>46264</v>
      </c>
      <c r="B1312" s="26" t="s">
        <v>17</v>
      </c>
      <c r="C1312" s="26" t="s">
        <v>74</v>
      </c>
      <c r="D1312" s="26" t="s">
        <v>30</v>
      </c>
      <c r="E1312" s="26" t="n">
        <v>27</v>
      </c>
    </row>
    <row r="1313" customFormat="false" ht="15" hidden="false" customHeight="false" outlineLevel="0" collapsed="false">
      <c r="A1313" s="25" t="n">
        <v>46264</v>
      </c>
      <c r="B1313" s="26" t="s">
        <v>17</v>
      </c>
      <c r="C1313" s="26" t="s">
        <v>74</v>
      </c>
      <c r="D1313" s="26" t="s">
        <v>28</v>
      </c>
      <c r="E1313" s="26" t="n">
        <v>14</v>
      </c>
    </row>
    <row r="1314" customFormat="false" ht="15" hidden="false" customHeight="false" outlineLevel="0" collapsed="false">
      <c r="A1314" s="25" t="n">
        <v>46264</v>
      </c>
      <c r="B1314" s="26" t="s">
        <v>18</v>
      </c>
      <c r="C1314" s="26" t="s">
        <v>72</v>
      </c>
      <c r="D1314" s="26" t="s">
        <v>26</v>
      </c>
      <c r="E1314" s="26" t="n">
        <v>32</v>
      </c>
    </row>
    <row r="1315" customFormat="false" ht="15" hidden="false" customHeight="false" outlineLevel="0" collapsed="false">
      <c r="A1315" s="25" t="n">
        <v>46264</v>
      </c>
      <c r="B1315" s="26" t="s">
        <v>18</v>
      </c>
      <c r="C1315" s="26" t="s">
        <v>73</v>
      </c>
      <c r="D1315" s="26" t="s">
        <v>31</v>
      </c>
      <c r="E1315" s="26" t="n">
        <v>40</v>
      </c>
    </row>
    <row r="1316" customFormat="false" ht="15" hidden="false" customHeight="false" outlineLevel="0" collapsed="false">
      <c r="A1316" s="25" t="n">
        <v>46264</v>
      </c>
      <c r="B1316" s="26" t="s">
        <v>18</v>
      </c>
      <c r="C1316" s="26" t="s">
        <v>73</v>
      </c>
      <c r="D1316" s="26" t="s">
        <v>32</v>
      </c>
      <c r="E1316" s="26" t="n">
        <v>10</v>
      </c>
    </row>
    <row r="1317" customFormat="false" ht="15" hidden="false" customHeight="false" outlineLevel="0" collapsed="false">
      <c r="A1317" s="25" t="n">
        <v>46264</v>
      </c>
      <c r="B1317" s="26" t="s">
        <v>18</v>
      </c>
      <c r="C1317" s="26" t="s">
        <v>74</v>
      </c>
      <c r="D1317" s="26" t="s">
        <v>26</v>
      </c>
      <c r="E1317" s="26" t="n">
        <v>63</v>
      </c>
    </row>
    <row r="1318" customFormat="false" ht="15" hidden="false" customHeight="false" outlineLevel="0" collapsed="false">
      <c r="A1318" s="25" t="n">
        <v>46264</v>
      </c>
      <c r="B1318" s="26" t="s">
        <v>18</v>
      </c>
      <c r="C1318" s="26" t="s">
        <v>74</v>
      </c>
      <c r="D1318" s="26" t="s">
        <v>29</v>
      </c>
      <c r="E1318" s="26" t="n">
        <v>30</v>
      </c>
    </row>
    <row r="1319" customFormat="false" ht="15" hidden="false" customHeight="false" outlineLevel="0" collapsed="false">
      <c r="A1319" s="25" t="n">
        <v>46264</v>
      </c>
      <c r="B1319" s="26" t="s">
        <v>18</v>
      </c>
      <c r="C1319" s="26" t="s">
        <v>74</v>
      </c>
      <c r="D1319" s="26" t="s">
        <v>30</v>
      </c>
      <c r="E1319" s="26" t="n">
        <v>41</v>
      </c>
    </row>
    <row r="1320" customFormat="false" ht="15" hidden="false" customHeight="false" outlineLevel="0" collapsed="false">
      <c r="A1320" s="25" t="n">
        <v>46265</v>
      </c>
      <c r="B1320" s="26" t="s">
        <v>16</v>
      </c>
      <c r="C1320" s="26" t="s">
        <v>73</v>
      </c>
      <c r="D1320" s="26" t="s">
        <v>28</v>
      </c>
      <c r="E1320" s="26" t="n">
        <v>18</v>
      </c>
    </row>
    <row r="1321" customFormat="false" ht="15" hidden="false" customHeight="false" outlineLevel="0" collapsed="false">
      <c r="A1321" s="25" t="n">
        <v>46265</v>
      </c>
      <c r="B1321" s="26" t="s">
        <v>16</v>
      </c>
      <c r="C1321" s="26" t="s">
        <v>73</v>
      </c>
      <c r="D1321" s="26" t="s">
        <v>31</v>
      </c>
      <c r="E1321" s="26" t="n">
        <v>49</v>
      </c>
    </row>
    <row r="1322" customFormat="false" ht="15" hidden="false" customHeight="false" outlineLevel="0" collapsed="false">
      <c r="A1322" s="25" t="n">
        <v>46265</v>
      </c>
      <c r="B1322" s="26" t="s">
        <v>16</v>
      </c>
      <c r="C1322" s="26" t="s">
        <v>73</v>
      </c>
      <c r="D1322" s="26" t="s">
        <v>30</v>
      </c>
      <c r="E1322" s="26" t="n">
        <v>33</v>
      </c>
    </row>
    <row r="1323" customFormat="false" ht="15" hidden="false" customHeight="false" outlineLevel="0" collapsed="false">
      <c r="A1323" s="25" t="n">
        <v>46265</v>
      </c>
      <c r="B1323" s="26" t="s">
        <v>16</v>
      </c>
      <c r="C1323" s="26" t="s">
        <v>74</v>
      </c>
      <c r="D1323" s="26" t="s">
        <v>27</v>
      </c>
      <c r="E1323" s="26" t="n">
        <v>26</v>
      </c>
    </row>
    <row r="1324" customFormat="false" ht="15" hidden="false" customHeight="false" outlineLevel="0" collapsed="false">
      <c r="A1324" s="25" t="n">
        <v>46265</v>
      </c>
      <c r="B1324" s="26" t="s">
        <v>16</v>
      </c>
      <c r="C1324" s="26" t="s">
        <v>74</v>
      </c>
      <c r="D1324" s="26" t="s">
        <v>29</v>
      </c>
      <c r="E1324" s="26" t="n">
        <v>19</v>
      </c>
    </row>
    <row r="1325" customFormat="false" ht="15" hidden="false" customHeight="false" outlineLevel="0" collapsed="false">
      <c r="A1325" s="25" t="n">
        <v>46265</v>
      </c>
      <c r="B1325" s="26" t="s">
        <v>16</v>
      </c>
      <c r="C1325" s="26" t="s">
        <v>74</v>
      </c>
      <c r="D1325" s="26" t="s">
        <v>28</v>
      </c>
      <c r="E1325" s="26" t="n">
        <v>63</v>
      </c>
    </row>
    <row r="1326" customFormat="false" ht="15" hidden="false" customHeight="false" outlineLevel="0" collapsed="false">
      <c r="A1326" s="25" t="n">
        <v>46265</v>
      </c>
      <c r="B1326" s="26" t="s">
        <v>17</v>
      </c>
      <c r="C1326" s="26" t="s">
        <v>72</v>
      </c>
      <c r="D1326" s="26" t="s">
        <v>29</v>
      </c>
      <c r="E1326" s="26" t="n">
        <v>39</v>
      </c>
    </row>
    <row r="1327" customFormat="false" ht="15" hidden="false" customHeight="false" outlineLevel="0" collapsed="false">
      <c r="A1327" s="25" t="n">
        <v>46265</v>
      </c>
      <c r="B1327" s="26" t="s">
        <v>17</v>
      </c>
      <c r="C1327" s="26" t="s">
        <v>72</v>
      </c>
      <c r="D1327" s="26" t="s">
        <v>26</v>
      </c>
      <c r="E1327" s="26" t="n">
        <v>42</v>
      </c>
    </row>
    <row r="1328" customFormat="false" ht="15" hidden="false" customHeight="false" outlineLevel="0" collapsed="false">
      <c r="A1328" s="25" t="n">
        <v>46265</v>
      </c>
      <c r="B1328" s="26" t="s">
        <v>17</v>
      </c>
      <c r="C1328" s="26" t="s">
        <v>73</v>
      </c>
      <c r="D1328" s="26" t="s">
        <v>26</v>
      </c>
      <c r="E1328" s="26" t="n">
        <v>22</v>
      </c>
    </row>
    <row r="1329" customFormat="false" ht="15" hidden="false" customHeight="false" outlineLevel="0" collapsed="false">
      <c r="A1329" s="25" t="n">
        <v>46265</v>
      </c>
      <c r="B1329" s="26" t="s">
        <v>17</v>
      </c>
      <c r="C1329" s="26" t="s">
        <v>74</v>
      </c>
      <c r="D1329" s="26" t="s">
        <v>28</v>
      </c>
      <c r="E1329" s="26" t="n">
        <v>42</v>
      </c>
    </row>
    <row r="1330" customFormat="false" ht="15" hidden="false" customHeight="false" outlineLevel="0" collapsed="false">
      <c r="A1330" s="25" t="n">
        <v>46265</v>
      </c>
      <c r="B1330" s="26" t="s">
        <v>17</v>
      </c>
      <c r="C1330" s="26" t="s">
        <v>74</v>
      </c>
      <c r="D1330" s="26" t="s">
        <v>29</v>
      </c>
      <c r="E1330" s="26" t="n">
        <v>9</v>
      </c>
    </row>
    <row r="1331" customFormat="false" ht="15" hidden="false" customHeight="false" outlineLevel="0" collapsed="false">
      <c r="A1331" s="25" t="n">
        <v>46265</v>
      </c>
      <c r="B1331" s="26" t="s">
        <v>17</v>
      </c>
      <c r="C1331" s="26" t="s">
        <v>74</v>
      </c>
      <c r="D1331" s="26" t="s">
        <v>26</v>
      </c>
      <c r="E1331" s="26" t="n">
        <v>27</v>
      </c>
    </row>
    <row r="1332" customFormat="false" ht="15" hidden="false" customHeight="false" outlineLevel="0" collapsed="false">
      <c r="A1332" s="25" t="n">
        <v>46265</v>
      </c>
      <c r="B1332" s="26" t="s">
        <v>17</v>
      </c>
      <c r="C1332" s="26" t="s">
        <v>74</v>
      </c>
      <c r="D1332" s="26" t="s">
        <v>28</v>
      </c>
      <c r="E1332" s="26" t="n">
        <v>92</v>
      </c>
    </row>
    <row r="1333" customFormat="false" ht="15" hidden="false" customHeight="false" outlineLevel="0" collapsed="false">
      <c r="A1333" s="25" t="n">
        <v>46265</v>
      </c>
      <c r="B1333" s="26" t="s">
        <v>18</v>
      </c>
      <c r="C1333" s="26" t="s">
        <v>72</v>
      </c>
      <c r="D1333" s="26" t="s">
        <v>26</v>
      </c>
      <c r="E1333" s="26" t="n">
        <v>14</v>
      </c>
    </row>
    <row r="1334" customFormat="false" ht="15" hidden="false" customHeight="false" outlineLevel="0" collapsed="false">
      <c r="A1334" s="25" t="n">
        <v>46265</v>
      </c>
      <c r="B1334" s="26" t="s">
        <v>18</v>
      </c>
      <c r="C1334" s="26" t="s">
        <v>72</v>
      </c>
      <c r="D1334" s="26" t="s">
        <v>27</v>
      </c>
      <c r="E1334" s="26" t="n">
        <v>26</v>
      </c>
    </row>
    <row r="1335" customFormat="false" ht="15" hidden="false" customHeight="false" outlineLevel="0" collapsed="false">
      <c r="A1335" s="25" t="n">
        <v>46265</v>
      </c>
      <c r="B1335" s="26" t="s">
        <v>18</v>
      </c>
      <c r="C1335" s="26" t="s">
        <v>73</v>
      </c>
      <c r="D1335" s="26" t="s">
        <v>26</v>
      </c>
      <c r="E1335" s="26" t="n">
        <v>64</v>
      </c>
    </row>
    <row r="1336" customFormat="false" ht="15" hidden="false" customHeight="false" outlineLevel="0" collapsed="false">
      <c r="A1336" s="25" t="n">
        <v>46265</v>
      </c>
      <c r="B1336" s="26" t="s">
        <v>18</v>
      </c>
      <c r="C1336" s="26" t="s">
        <v>73</v>
      </c>
      <c r="D1336" s="26" t="s">
        <v>27</v>
      </c>
      <c r="E1336" s="26" t="n">
        <v>37</v>
      </c>
    </row>
    <row r="1337" customFormat="false" ht="15" hidden="false" customHeight="false" outlineLevel="0" collapsed="false">
      <c r="A1337" s="25" t="n">
        <v>46265</v>
      </c>
      <c r="B1337" s="26" t="s">
        <v>18</v>
      </c>
      <c r="C1337" s="26" t="s">
        <v>73</v>
      </c>
      <c r="D1337" s="26" t="s">
        <v>28</v>
      </c>
      <c r="E1337" s="26" t="n">
        <v>19</v>
      </c>
    </row>
    <row r="1338" customFormat="false" ht="15" hidden="false" customHeight="false" outlineLevel="0" collapsed="false">
      <c r="A1338" s="25" t="n">
        <v>46265</v>
      </c>
      <c r="B1338" s="26" t="s">
        <v>18</v>
      </c>
      <c r="C1338" s="26" t="s">
        <v>73</v>
      </c>
      <c r="D1338" s="26" t="s">
        <v>29</v>
      </c>
      <c r="E1338" s="26" t="n">
        <v>20</v>
      </c>
    </row>
    <row r="1339" customFormat="false" ht="15" hidden="false" customHeight="false" outlineLevel="0" collapsed="false">
      <c r="A1339" s="25" t="n">
        <v>46266</v>
      </c>
      <c r="B1339" s="26" t="s">
        <v>16</v>
      </c>
      <c r="C1339" s="26" t="s">
        <v>72</v>
      </c>
      <c r="D1339" s="26" t="s">
        <v>26</v>
      </c>
      <c r="E1339" s="26" t="n">
        <v>48</v>
      </c>
    </row>
    <row r="1340" customFormat="false" ht="15" hidden="false" customHeight="false" outlineLevel="0" collapsed="false">
      <c r="A1340" s="25" t="n">
        <v>46266</v>
      </c>
      <c r="B1340" s="26" t="s">
        <v>16</v>
      </c>
      <c r="C1340" s="26" t="s">
        <v>73</v>
      </c>
      <c r="D1340" s="26" t="s">
        <v>30</v>
      </c>
      <c r="E1340" s="26" t="n">
        <v>60</v>
      </c>
    </row>
    <row r="1341" customFormat="false" ht="15" hidden="false" customHeight="false" outlineLevel="0" collapsed="false">
      <c r="A1341" s="25" t="n">
        <v>46266</v>
      </c>
      <c r="B1341" s="26" t="s">
        <v>16</v>
      </c>
      <c r="C1341" s="26" t="s">
        <v>73</v>
      </c>
      <c r="D1341" s="26" t="s">
        <v>27</v>
      </c>
      <c r="E1341" s="26" t="n">
        <v>40</v>
      </c>
    </row>
    <row r="1342" customFormat="false" ht="15" hidden="false" customHeight="false" outlineLevel="0" collapsed="false">
      <c r="A1342" s="25" t="n">
        <v>46266</v>
      </c>
      <c r="B1342" s="26" t="s">
        <v>16</v>
      </c>
      <c r="C1342" s="26" t="s">
        <v>73</v>
      </c>
      <c r="D1342" s="26" t="s">
        <v>26</v>
      </c>
      <c r="E1342" s="26" t="n">
        <v>15</v>
      </c>
    </row>
    <row r="1343" customFormat="false" ht="15" hidden="false" customHeight="false" outlineLevel="0" collapsed="false">
      <c r="A1343" s="25" t="n">
        <v>46266</v>
      </c>
      <c r="B1343" s="26" t="s">
        <v>16</v>
      </c>
      <c r="C1343" s="26" t="s">
        <v>74</v>
      </c>
      <c r="D1343" s="26" t="s">
        <v>30</v>
      </c>
      <c r="E1343" s="26" t="n">
        <v>32</v>
      </c>
    </row>
    <row r="1344" customFormat="false" ht="15" hidden="false" customHeight="false" outlineLevel="0" collapsed="false">
      <c r="A1344" s="25" t="n">
        <v>46266</v>
      </c>
      <c r="B1344" s="26" t="s">
        <v>17</v>
      </c>
      <c r="C1344" s="26" t="s">
        <v>72</v>
      </c>
      <c r="D1344" s="26" t="s">
        <v>26</v>
      </c>
      <c r="E1344" s="26" t="n">
        <v>29</v>
      </c>
    </row>
    <row r="1345" customFormat="false" ht="15" hidden="false" customHeight="false" outlineLevel="0" collapsed="false">
      <c r="A1345" s="25" t="n">
        <v>46266</v>
      </c>
      <c r="B1345" s="26" t="s">
        <v>17</v>
      </c>
      <c r="C1345" s="26" t="s">
        <v>72</v>
      </c>
      <c r="D1345" s="26" t="s">
        <v>28</v>
      </c>
      <c r="E1345" s="26" t="n">
        <v>51</v>
      </c>
    </row>
    <row r="1346" customFormat="false" ht="15" hidden="false" customHeight="false" outlineLevel="0" collapsed="false">
      <c r="A1346" s="25" t="n">
        <v>46266</v>
      </c>
      <c r="B1346" s="26" t="s">
        <v>17</v>
      </c>
      <c r="C1346" s="26" t="s">
        <v>72</v>
      </c>
      <c r="D1346" s="26" t="s">
        <v>26</v>
      </c>
      <c r="E1346" s="26" t="n">
        <v>90</v>
      </c>
    </row>
    <row r="1347" customFormat="false" ht="15" hidden="false" customHeight="false" outlineLevel="0" collapsed="false">
      <c r="A1347" s="25" t="n">
        <v>46266</v>
      </c>
      <c r="B1347" s="26" t="s">
        <v>17</v>
      </c>
      <c r="C1347" s="26" t="s">
        <v>73</v>
      </c>
      <c r="D1347" s="26" t="s">
        <v>26</v>
      </c>
      <c r="E1347" s="26" t="n">
        <v>50</v>
      </c>
    </row>
    <row r="1348" customFormat="false" ht="15" hidden="false" customHeight="false" outlineLevel="0" collapsed="false">
      <c r="A1348" s="25" t="n">
        <v>46266</v>
      </c>
      <c r="B1348" s="26" t="s">
        <v>17</v>
      </c>
      <c r="C1348" s="26" t="s">
        <v>74</v>
      </c>
      <c r="D1348" s="26" t="s">
        <v>27</v>
      </c>
      <c r="E1348" s="26" t="n">
        <v>27</v>
      </c>
    </row>
    <row r="1349" customFormat="false" ht="15" hidden="false" customHeight="false" outlineLevel="0" collapsed="false">
      <c r="A1349" s="25" t="n">
        <v>46266</v>
      </c>
      <c r="B1349" s="26" t="s">
        <v>17</v>
      </c>
      <c r="C1349" s="26" t="s">
        <v>74</v>
      </c>
      <c r="D1349" s="26" t="s">
        <v>31</v>
      </c>
      <c r="E1349" s="26" t="n">
        <v>56</v>
      </c>
    </row>
    <row r="1350" customFormat="false" ht="15" hidden="false" customHeight="false" outlineLevel="0" collapsed="false">
      <c r="A1350" s="25" t="n">
        <v>46266</v>
      </c>
      <c r="B1350" s="26" t="s">
        <v>17</v>
      </c>
      <c r="C1350" s="26" t="s">
        <v>74</v>
      </c>
      <c r="D1350" s="26" t="s">
        <v>26</v>
      </c>
      <c r="E1350" s="26" t="n">
        <v>33</v>
      </c>
    </row>
    <row r="1351" customFormat="false" ht="15" hidden="false" customHeight="false" outlineLevel="0" collapsed="false">
      <c r="A1351" s="25" t="n">
        <v>46266</v>
      </c>
      <c r="B1351" s="26" t="s">
        <v>17</v>
      </c>
      <c r="C1351" s="26" t="s">
        <v>74</v>
      </c>
      <c r="D1351" s="26" t="s">
        <v>26</v>
      </c>
      <c r="E1351" s="26" t="n">
        <v>12</v>
      </c>
    </row>
    <row r="1352" customFormat="false" ht="15" hidden="false" customHeight="false" outlineLevel="0" collapsed="false">
      <c r="A1352" s="25" t="n">
        <v>46266</v>
      </c>
      <c r="B1352" s="26" t="s">
        <v>18</v>
      </c>
      <c r="C1352" s="26" t="s">
        <v>72</v>
      </c>
      <c r="D1352" s="26" t="s">
        <v>26</v>
      </c>
      <c r="E1352" s="26" t="n">
        <v>28</v>
      </c>
    </row>
    <row r="1353" customFormat="false" ht="15" hidden="false" customHeight="false" outlineLevel="0" collapsed="false">
      <c r="A1353" s="25" t="n">
        <v>46266</v>
      </c>
      <c r="B1353" s="26" t="s">
        <v>18</v>
      </c>
      <c r="C1353" s="26" t="s">
        <v>73</v>
      </c>
      <c r="D1353" s="26" t="s">
        <v>31</v>
      </c>
      <c r="E1353" s="26" t="n">
        <v>53</v>
      </c>
    </row>
    <row r="1354" customFormat="false" ht="15" hidden="false" customHeight="false" outlineLevel="0" collapsed="false">
      <c r="A1354" s="25" t="n">
        <v>46266</v>
      </c>
      <c r="B1354" s="26" t="s">
        <v>18</v>
      </c>
      <c r="C1354" s="26" t="s">
        <v>73</v>
      </c>
      <c r="D1354" s="26" t="s">
        <v>26</v>
      </c>
      <c r="E1354" s="26" t="n">
        <v>18</v>
      </c>
    </row>
    <row r="1355" customFormat="false" ht="15" hidden="false" customHeight="false" outlineLevel="0" collapsed="false">
      <c r="A1355" s="25" t="n">
        <v>46267</v>
      </c>
      <c r="B1355" s="26" t="s">
        <v>16</v>
      </c>
      <c r="C1355" s="26" t="s">
        <v>74</v>
      </c>
      <c r="D1355" s="26" t="s">
        <v>31</v>
      </c>
      <c r="E1355" s="26" t="n">
        <v>52</v>
      </c>
    </row>
    <row r="1356" customFormat="false" ht="15" hidden="false" customHeight="false" outlineLevel="0" collapsed="false">
      <c r="A1356" s="25" t="n">
        <v>46267</v>
      </c>
      <c r="B1356" s="26" t="s">
        <v>16</v>
      </c>
      <c r="C1356" s="26" t="s">
        <v>74</v>
      </c>
      <c r="D1356" s="26" t="s">
        <v>27</v>
      </c>
      <c r="E1356" s="26" t="n">
        <v>11</v>
      </c>
    </row>
    <row r="1357" customFormat="false" ht="15" hidden="false" customHeight="false" outlineLevel="0" collapsed="false">
      <c r="A1357" s="25" t="n">
        <v>46267</v>
      </c>
      <c r="B1357" s="26" t="s">
        <v>17</v>
      </c>
      <c r="C1357" s="26" t="s">
        <v>72</v>
      </c>
      <c r="D1357" s="26" t="s">
        <v>27</v>
      </c>
      <c r="E1357" s="26" t="n">
        <v>20</v>
      </c>
    </row>
    <row r="1358" customFormat="false" ht="15" hidden="false" customHeight="false" outlineLevel="0" collapsed="false">
      <c r="A1358" s="25" t="n">
        <v>46267</v>
      </c>
      <c r="B1358" s="26" t="s">
        <v>17</v>
      </c>
      <c r="C1358" s="26" t="s">
        <v>72</v>
      </c>
      <c r="D1358" s="26" t="s">
        <v>26</v>
      </c>
      <c r="E1358" s="26" t="n">
        <v>28</v>
      </c>
    </row>
    <row r="1359" customFormat="false" ht="15" hidden="false" customHeight="false" outlineLevel="0" collapsed="false">
      <c r="A1359" s="25" t="n">
        <v>46267</v>
      </c>
      <c r="B1359" s="26" t="s">
        <v>17</v>
      </c>
      <c r="C1359" s="26" t="s">
        <v>73</v>
      </c>
      <c r="D1359" s="26" t="s">
        <v>26</v>
      </c>
      <c r="E1359" s="26" t="n">
        <v>19</v>
      </c>
    </row>
    <row r="1360" customFormat="false" ht="15" hidden="false" customHeight="false" outlineLevel="0" collapsed="false">
      <c r="A1360" s="25" t="n">
        <v>46267</v>
      </c>
      <c r="B1360" s="26" t="s">
        <v>17</v>
      </c>
      <c r="C1360" s="26" t="s">
        <v>73</v>
      </c>
      <c r="D1360" s="26" t="s">
        <v>26</v>
      </c>
      <c r="E1360" s="26" t="n">
        <v>42</v>
      </c>
    </row>
    <row r="1361" customFormat="false" ht="15" hidden="false" customHeight="false" outlineLevel="0" collapsed="false">
      <c r="A1361" s="25" t="n">
        <v>46267</v>
      </c>
      <c r="B1361" s="26" t="s">
        <v>17</v>
      </c>
      <c r="C1361" s="26" t="s">
        <v>73</v>
      </c>
      <c r="D1361" s="26" t="s">
        <v>26</v>
      </c>
      <c r="E1361" s="26" t="n">
        <v>19</v>
      </c>
    </row>
    <row r="1362" customFormat="false" ht="15" hidden="false" customHeight="false" outlineLevel="0" collapsed="false">
      <c r="A1362" s="25" t="n">
        <v>46267</v>
      </c>
      <c r="B1362" s="26" t="s">
        <v>17</v>
      </c>
      <c r="C1362" s="26" t="s">
        <v>74</v>
      </c>
      <c r="D1362" s="26" t="s">
        <v>28</v>
      </c>
      <c r="E1362" s="26" t="n">
        <v>120</v>
      </c>
    </row>
    <row r="1363" customFormat="false" ht="15" hidden="false" customHeight="false" outlineLevel="0" collapsed="false">
      <c r="A1363" s="25" t="n">
        <v>46267</v>
      </c>
      <c r="B1363" s="26" t="s">
        <v>17</v>
      </c>
      <c r="C1363" s="26" t="s">
        <v>74</v>
      </c>
      <c r="D1363" s="26" t="s">
        <v>32</v>
      </c>
      <c r="E1363" s="26" t="n">
        <v>14</v>
      </c>
    </row>
    <row r="1364" customFormat="false" ht="15" hidden="false" customHeight="false" outlineLevel="0" collapsed="false">
      <c r="A1364" s="25" t="n">
        <v>46267</v>
      </c>
      <c r="B1364" s="26" t="s">
        <v>17</v>
      </c>
      <c r="C1364" s="26" t="s">
        <v>74</v>
      </c>
      <c r="D1364" s="26" t="s">
        <v>26</v>
      </c>
      <c r="E1364" s="26" t="n">
        <v>34</v>
      </c>
    </row>
    <row r="1365" customFormat="false" ht="15" hidden="false" customHeight="false" outlineLevel="0" collapsed="false">
      <c r="A1365" s="25" t="n">
        <v>46267</v>
      </c>
      <c r="B1365" s="26" t="s">
        <v>17</v>
      </c>
      <c r="C1365" s="26" t="s">
        <v>74</v>
      </c>
      <c r="D1365" s="26" t="s">
        <v>31</v>
      </c>
      <c r="E1365" s="26" t="n">
        <v>46</v>
      </c>
    </row>
    <row r="1366" customFormat="false" ht="15" hidden="false" customHeight="false" outlineLevel="0" collapsed="false">
      <c r="A1366" s="25" t="n">
        <v>46267</v>
      </c>
      <c r="B1366" s="26" t="s">
        <v>18</v>
      </c>
      <c r="C1366" s="26" t="s">
        <v>72</v>
      </c>
      <c r="D1366" s="26" t="s">
        <v>30</v>
      </c>
      <c r="E1366" s="26" t="n">
        <v>27</v>
      </c>
    </row>
    <row r="1367" customFormat="false" ht="15" hidden="false" customHeight="false" outlineLevel="0" collapsed="false">
      <c r="A1367" s="25" t="n">
        <v>46267</v>
      </c>
      <c r="B1367" s="26" t="s">
        <v>18</v>
      </c>
      <c r="C1367" s="26" t="s">
        <v>72</v>
      </c>
      <c r="D1367" s="26" t="s">
        <v>27</v>
      </c>
      <c r="E1367" s="26" t="n">
        <v>40</v>
      </c>
    </row>
    <row r="1368" customFormat="false" ht="15" hidden="false" customHeight="false" outlineLevel="0" collapsed="false">
      <c r="A1368" s="25" t="n">
        <v>46267</v>
      </c>
      <c r="B1368" s="26" t="s">
        <v>18</v>
      </c>
      <c r="C1368" s="26" t="s">
        <v>72</v>
      </c>
      <c r="D1368" s="26" t="s">
        <v>29</v>
      </c>
      <c r="E1368" s="26" t="n">
        <v>16</v>
      </c>
    </row>
    <row r="1369" customFormat="false" ht="15" hidden="false" customHeight="false" outlineLevel="0" collapsed="false">
      <c r="A1369" s="25" t="n">
        <v>46267</v>
      </c>
      <c r="B1369" s="26" t="s">
        <v>18</v>
      </c>
      <c r="C1369" s="26" t="s">
        <v>72</v>
      </c>
      <c r="D1369" s="26" t="s">
        <v>28</v>
      </c>
      <c r="E1369" s="26" t="n">
        <v>13</v>
      </c>
    </row>
    <row r="1370" customFormat="false" ht="15" hidden="false" customHeight="false" outlineLevel="0" collapsed="false">
      <c r="A1370" s="25" t="n">
        <v>46267</v>
      </c>
      <c r="B1370" s="26" t="s">
        <v>18</v>
      </c>
      <c r="C1370" s="26" t="s">
        <v>73</v>
      </c>
      <c r="D1370" s="26" t="s">
        <v>28</v>
      </c>
      <c r="E1370" s="26" t="n">
        <v>56</v>
      </c>
    </row>
    <row r="1371" customFormat="false" ht="15" hidden="false" customHeight="false" outlineLevel="0" collapsed="false">
      <c r="A1371" s="25" t="n">
        <v>46267</v>
      </c>
      <c r="B1371" s="26" t="s">
        <v>18</v>
      </c>
      <c r="C1371" s="26" t="s">
        <v>73</v>
      </c>
      <c r="D1371" s="26" t="s">
        <v>26</v>
      </c>
      <c r="E1371" s="26" t="n">
        <v>26</v>
      </c>
    </row>
    <row r="1372" customFormat="false" ht="15" hidden="false" customHeight="false" outlineLevel="0" collapsed="false">
      <c r="A1372" s="25" t="n">
        <v>46267</v>
      </c>
      <c r="B1372" s="26" t="s">
        <v>18</v>
      </c>
      <c r="C1372" s="26" t="s">
        <v>73</v>
      </c>
      <c r="D1372" s="26" t="s">
        <v>28</v>
      </c>
      <c r="E1372" s="26" t="n">
        <v>36</v>
      </c>
    </row>
    <row r="1373" customFormat="false" ht="15" hidden="false" customHeight="false" outlineLevel="0" collapsed="false">
      <c r="A1373" s="25" t="n">
        <v>46267</v>
      </c>
      <c r="B1373" s="26" t="s">
        <v>18</v>
      </c>
      <c r="C1373" s="26" t="s">
        <v>73</v>
      </c>
      <c r="D1373" s="26" t="s">
        <v>29</v>
      </c>
      <c r="E1373" s="26" t="n">
        <v>12</v>
      </c>
    </row>
    <row r="1374" customFormat="false" ht="15" hidden="false" customHeight="false" outlineLevel="0" collapsed="false">
      <c r="A1374" s="25" t="n">
        <v>46267</v>
      </c>
      <c r="B1374" s="26" t="s">
        <v>18</v>
      </c>
      <c r="C1374" s="26" t="s">
        <v>74</v>
      </c>
      <c r="D1374" s="26" t="s">
        <v>26</v>
      </c>
      <c r="E1374" s="26" t="n">
        <v>45</v>
      </c>
    </row>
    <row r="1375" customFormat="false" ht="15" hidden="false" customHeight="false" outlineLevel="0" collapsed="false">
      <c r="A1375" s="25" t="n">
        <v>46267</v>
      </c>
      <c r="B1375" s="26" t="s">
        <v>18</v>
      </c>
      <c r="C1375" s="26" t="s">
        <v>74</v>
      </c>
      <c r="D1375" s="26" t="s">
        <v>28</v>
      </c>
      <c r="E1375" s="26" t="n">
        <v>5</v>
      </c>
    </row>
    <row r="1376" customFormat="false" ht="15" hidden="false" customHeight="false" outlineLevel="0" collapsed="false">
      <c r="A1376" s="25" t="n">
        <v>46268</v>
      </c>
      <c r="B1376" s="26" t="s">
        <v>16</v>
      </c>
      <c r="C1376" s="26" t="s">
        <v>72</v>
      </c>
      <c r="D1376" s="26" t="s">
        <v>31</v>
      </c>
      <c r="E1376" s="26" t="n">
        <v>54</v>
      </c>
    </row>
    <row r="1377" customFormat="false" ht="15" hidden="false" customHeight="false" outlineLevel="0" collapsed="false">
      <c r="A1377" s="25" t="n">
        <v>46268</v>
      </c>
      <c r="B1377" s="26" t="s">
        <v>16</v>
      </c>
      <c r="C1377" s="26" t="s">
        <v>72</v>
      </c>
      <c r="D1377" s="26" t="s">
        <v>31</v>
      </c>
      <c r="E1377" s="26" t="n">
        <v>27</v>
      </c>
    </row>
    <row r="1378" customFormat="false" ht="15" hidden="false" customHeight="false" outlineLevel="0" collapsed="false">
      <c r="A1378" s="25" t="n">
        <v>46268</v>
      </c>
      <c r="B1378" s="26" t="s">
        <v>16</v>
      </c>
      <c r="C1378" s="26" t="s">
        <v>73</v>
      </c>
      <c r="D1378" s="26" t="s">
        <v>28</v>
      </c>
      <c r="E1378" s="26" t="n">
        <v>120</v>
      </c>
    </row>
    <row r="1379" customFormat="false" ht="15" hidden="false" customHeight="false" outlineLevel="0" collapsed="false">
      <c r="A1379" s="25" t="n">
        <v>46268</v>
      </c>
      <c r="B1379" s="26" t="s">
        <v>17</v>
      </c>
      <c r="C1379" s="26" t="s">
        <v>72</v>
      </c>
      <c r="D1379" s="26" t="s">
        <v>28</v>
      </c>
      <c r="E1379" s="26" t="n">
        <v>11</v>
      </c>
    </row>
    <row r="1380" customFormat="false" ht="15" hidden="false" customHeight="false" outlineLevel="0" collapsed="false">
      <c r="A1380" s="25" t="n">
        <v>46268</v>
      </c>
      <c r="B1380" s="26" t="s">
        <v>17</v>
      </c>
      <c r="C1380" s="26" t="s">
        <v>72</v>
      </c>
      <c r="D1380" s="26" t="s">
        <v>29</v>
      </c>
      <c r="E1380" s="26" t="n">
        <v>29</v>
      </c>
    </row>
    <row r="1381" customFormat="false" ht="15" hidden="false" customHeight="false" outlineLevel="0" collapsed="false">
      <c r="A1381" s="25" t="n">
        <v>46268</v>
      </c>
      <c r="B1381" s="26" t="s">
        <v>17</v>
      </c>
      <c r="C1381" s="26" t="s">
        <v>73</v>
      </c>
      <c r="D1381" s="26" t="s">
        <v>29</v>
      </c>
      <c r="E1381" s="26" t="n">
        <v>9</v>
      </c>
    </row>
    <row r="1382" customFormat="false" ht="15" hidden="false" customHeight="false" outlineLevel="0" collapsed="false">
      <c r="A1382" s="25" t="n">
        <v>46268</v>
      </c>
      <c r="B1382" s="26" t="s">
        <v>17</v>
      </c>
      <c r="C1382" s="26" t="s">
        <v>73</v>
      </c>
      <c r="D1382" s="26" t="s">
        <v>28</v>
      </c>
      <c r="E1382" s="26" t="n">
        <v>43</v>
      </c>
    </row>
    <row r="1383" customFormat="false" ht="15" hidden="false" customHeight="false" outlineLevel="0" collapsed="false">
      <c r="A1383" s="25" t="n">
        <v>46268</v>
      </c>
      <c r="B1383" s="26" t="s">
        <v>17</v>
      </c>
      <c r="C1383" s="26" t="s">
        <v>73</v>
      </c>
      <c r="D1383" s="26" t="s">
        <v>28</v>
      </c>
      <c r="E1383" s="26" t="n">
        <v>43</v>
      </c>
    </row>
    <row r="1384" customFormat="false" ht="15" hidden="false" customHeight="false" outlineLevel="0" collapsed="false">
      <c r="A1384" s="25" t="n">
        <v>46268</v>
      </c>
      <c r="B1384" s="26" t="s">
        <v>17</v>
      </c>
      <c r="C1384" s="26" t="s">
        <v>74</v>
      </c>
      <c r="D1384" s="26" t="s">
        <v>30</v>
      </c>
      <c r="E1384" s="26" t="n">
        <v>18</v>
      </c>
    </row>
    <row r="1385" customFormat="false" ht="15" hidden="false" customHeight="false" outlineLevel="0" collapsed="false">
      <c r="A1385" s="25" t="n">
        <v>46268</v>
      </c>
      <c r="B1385" s="26" t="s">
        <v>17</v>
      </c>
      <c r="C1385" s="26" t="s">
        <v>74</v>
      </c>
      <c r="D1385" s="26" t="s">
        <v>31</v>
      </c>
      <c r="E1385" s="26" t="n">
        <v>46</v>
      </c>
    </row>
    <row r="1386" customFormat="false" ht="15" hidden="false" customHeight="false" outlineLevel="0" collapsed="false">
      <c r="A1386" s="25" t="n">
        <v>46268</v>
      </c>
      <c r="B1386" s="26" t="s">
        <v>17</v>
      </c>
      <c r="C1386" s="26" t="s">
        <v>74</v>
      </c>
      <c r="D1386" s="26" t="s">
        <v>30</v>
      </c>
      <c r="E1386" s="26" t="n">
        <v>31</v>
      </c>
    </row>
    <row r="1387" customFormat="false" ht="15" hidden="false" customHeight="false" outlineLevel="0" collapsed="false">
      <c r="A1387" s="25" t="n">
        <v>46268</v>
      </c>
      <c r="B1387" s="26" t="s">
        <v>17</v>
      </c>
      <c r="C1387" s="26" t="s">
        <v>74</v>
      </c>
      <c r="D1387" s="26" t="s">
        <v>28</v>
      </c>
      <c r="E1387" s="26" t="n">
        <v>88</v>
      </c>
    </row>
    <row r="1388" customFormat="false" ht="15" hidden="false" customHeight="false" outlineLevel="0" collapsed="false">
      <c r="A1388" s="25" t="n">
        <v>46268</v>
      </c>
      <c r="B1388" s="26" t="s">
        <v>18</v>
      </c>
      <c r="C1388" s="26" t="s">
        <v>72</v>
      </c>
      <c r="D1388" s="26" t="s">
        <v>28</v>
      </c>
      <c r="E1388" s="26" t="n">
        <v>39</v>
      </c>
    </row>
    <row r="1389" customFormat="false" ht="15" hidden="false" customHeight="false" outlineLevel="0" collapsed="false">
      <c r="A1389" s="25" t="n">
        <v>46268</v>
      </c>
      <c r="B1389" s="26" t="s">
        <v>18</v>
      </c>
      <c r="C1389" s="26" t="s">
        <v>72</v>
      </c>
      <c r="D1389" s="26" t="s">
        <v>28</v>
      </c>
      <c r="E1389" s="26" t="n">
        <v>38</v>
      </c>
    </row>
    <row r="1390" customFormat="false" ht="15" hidden="false" customHeight="false" outlineLevel="0" collapsed="false">
      <c r="A1390" s="25" t="n">
        <v>46268</v>
      </c>
      <c r="B1390" s="26" t="s">
        <v>18</v>
      </c>
      <c r="C1390" s="26" t="s">
        <v>72</v>
      </c>
      <c r="D1390" s="26" t="s">
        <v>26</v>
      </c>
      <c r="E1390" s="26" t="n">
        <v>39</v>
      </c>
    </row>
    <row r="1391" customFormat="false" ht="15" hidden="false" customHeight="false" outlineLevel="0" collapsed="false">
      <c r="A1391" s="25" t="n">
        <v>46268</v>
      </c>
      <c r="B1391" s="26" t="s">
        <v>18</v>
      </c>
      <c r="C1391" s="26" t="s">
        <v>72</v>
      </c>
      <c r="D1391" s="26" t="s">
        <v>26</v>
      </c>
      <c r="E1391" s="26" t="n">
        <v>58</v>
      </c>
    </row>
    <row r="1392" customFormat="false" ht="15" hidden="false" customHeight="false" outlineLevel="0" collapsed="false">
      <c r="A1392" s="25" t="n">
        <v>46268</v>
      </c>
      <c r="B1392" s="26" t="s">
        <v>18</v>
      </c>
      <c r="C1392" s="26" t="s">
        <v>72</v>
      </c>
      <c r="D1392" s="26" t="s">
        <v>26</v>
      </c>
      <c r="E1392" s="26" t="n">
        <v>31</v>
      </c>
    </row>
    <row r="1393" customFormat="false" ht="15" hidden="false" customHeight="false" outlineLevel="0" collapsed="false">
      <c r="A1393" s="25" t="n">
        <v>46268</v>
      </c>
      <c r="B1393" s="26" t="s">
        <v>18</v>
      </c>
      <c r="C1393" s="26" t="s">
        <v>73</v>
      </c>
      <c r="D1393" s="26" t="s">
        <v>29</v>
      </c>
      <c r="E1393" s="26" t="n">
        <v>23</v>
      </c>
    </row>
    <row r="1394" customFormat="false" ht="15" hidden="false" customHeight="false" outlineLevel="0" collapsed="false">
      <c r="A1394" s="25" t="n">
        <v>46268</v>
      </c>
      <c r="B1394" s="26" t="s">
        <v>18</v>
      </c>
      <c r="C1394" s="26" t="s">
        <v>74</v>
      </c>
      <c r="D1394" s="26" t="s">
        <v>28</v>
      </c>
      <c r="E1394" s="26" t="n">
        <v>53</v>
      </c>
    </row>
    <row r="1395" customFormat="false" ht="15" hidden="false" customHeight="false" outlineLevel="0" collapsed="false">
      <c r="A1395" s="25" t="n">
        <v>46268</v>
      </c>
      <c r="B1395" s="26" t="s">
        <v>18</v>
      </c>
      <c r="C1395" s="26" t="s">
        <v>74</v>
      </c>
      <c r="D1395" s="26" t="s">
        <v>26</v>
      </c>
      <c r="E1395" s="26" t="n">
        <v>27</v>
      </c>
    </row>
    <row r="1396" customFormat="false" ht="15" hidden="false" customHeight="false" outlineLevel="0" collapsed="false">
      <c r="A1396" s="25" t="n">
        <v>46269</v>
      </c>
      <c r="B1396" s="26" t="s">
        <v>16</v>
      </c>
      <c r="C1396" s="26" t="s">
        <v>72</v>
      </c>
      <c r="D1396" s="26" t="s">
        <v>28</v>
      </c>
      <c r="E1396" s="26" t="n">
        <v>5</v>
      </c>
    </row>
    <row r="1397" customFormat="false" ht="15" hidden="false" customHeight="false" outlineLevel="0" collapsed="false">
      <c r="A1397" s="25" t="n">
        <v>46269</v>
      </c>
      <c r="B1397" s="26" t="s">
        <v>16</v>
      </c>
      <c r="C1397" s="26" t="s">
        <v>74</v>
      </c>
      <c r="D1397" s="26" t="s">
        <v>32</v>
      </c>
      <c r="E1397" s="26" t="n">
        <v>8</v>
      </c>
    </row>
    <row r="1398" customFormat="false" ht="15" hidden="false" customHeight="false" outlineLevel="0" collapsed="false">
      <c r="A1398" s="25" t="n">
        <v>46269</v>
      </c>
      <c r="B1398" s="26" t="s">
        <v>16</v>
      </c>
      <c r="C1398" s="26" t="s">
        <v>74</v>
      </c>
      <c r="D1398" s="26" t="s">
        <v>26</v>
      </c>
      <c r="E1398" s="26" t="n">
        <v>29</v>
      </c>
    </row>
    <row r="1399" customFormat="false" ht="15" hidden="false" customHeight="false" outlineLevel="0" collapsed="false">
      <c r="A1399" s="25" t="n">
        <v>46269</v>
      </c>
      <c r="B1399" s="26" t="s">
        <v>17</v>
      </c>
      <c r="C1399" s="26" t="s">
        <v>73</v>
      </c>
      <c r="D1399" s="26" t="s">
        <v>29</v>
      </c>
      <c r="E1399" s="26" t="n">
        <v>20</v>
      </c>
    </row>
    <row r="1400" customFormat="false" ht="15" hidden="false" customHeight="false" outlineLevel="0" collapsed="false">
      <c r="A1400" s="25" t="n">
        <v>46269</v>
      </c>
      <c r="B1400" s="26" t="s">
        <v>17</v>
      </c>
      <c r="C1400" s="26" t="s">
        <v>73</v>
      </c>
      <c r="D1400" s="26" t="s">
        <v>26</v>
      </c>
      <c r="E1400" s="26" t="n">
        <v>33</v>
      </c>
    </row>
    <row r="1401" customFormat="false" ht="15" hidden="false" customHeight="false" outlineLevel="0" collapsed="false">
      <c r="A1401" s="25" t="n">
        <v>46269</v>
      </c>
      <c r="B1401" s="26" t="s">
        <v>17</v>
      </c>
      <c r="C1401" s="26" t="s">
        <v>74</v>
      </c>
      <c r="D1401" s="26" t="s">
        <v>27</v>
      </c>
      <c r="E1401" s="26" t="n">
        <v>48</v>
      </c>
    </row>
    <row r="1402" customFormat="false" ht="15" hidden="false" customHeight="false" outlineLevel="0" collapsed="false">
      <c r="A1402" s="25" t="n">
        <v>46269</v>
      </c>
      <c r="B1402" s="26" t="s">
        <v>17</v>
      </c>
      <c r="C1402" s="26" t="s">
        <v>74</v>
      </c>
      <c r="D1402" s="26" t="s">
        <v>29</v>
      </c>
      <c r="E1402" s="26" t="n">
        <v>11</v>
      </c>
    </row>
    <row r="1403" customFormat="false" ht="15" hidden="false" customHeight="false" outlineLevel="0" collapsed="false">
      <c r="A1403" s="25" t="n">
        <v>46269</v>
      </c>
      <c r="B1403" s="26" t="s">
        <v>17</v>
      </c>
      <c r="C1403" s="26" t="s">
        <v>74</v>
      </c>
      <c r="D1403" s="26" t="s">
        <v>26</v>
      </c>
      <c r="E1403" s="26" t="n">
        <v>19</v>
      </c>
    </row>
    <row r="1404" customFormat="false" ht="15" hidden="false" customHeight="false" outlineLevel="0" collapsed="false">
      <c r="A1404" s="25" t="n">
        <v>46269</v>
      </c>
      <c r="B1404" s="26" t="s">
        <v>17</v>
      </c>
      <c r="C1404" s="26" t="s">
        <v>74</v>
      </c>
      <c r="D1404" s="26" t="s">
        <v>31</v>
      </c>
      <c r="E1404" s="26" t="n">
        <v>49</v>
      </c>
    </row>
    <row r="1405" customFormat="false" ht="15" hidden="false" customHeight="false" outlineLevel="0" collapsed="false">
      <c r="A1405" s="25" t="n">
        <v>46269</v>
      </c>
      <c r="B1405" s="26" t="s">
        <v>17</v>
      </c>
      <c r="C1405" s="26" t="s">
        <v>74</v>
      </c>
      <c r="D1405" s="26" t="s">
        <v>26</v>
      </c>
      <c r="E1405" s="26" t="n">
        <v>43</v>
      </c>
    </row>
    <row r="1406" customFormat="false" ht="15" hidden="false" customHeight="false" outlineLevel="0" collapsed="false">
      <c r="A1406" s="25" t="n">
        <v>46269</v>
      </c>
      <c r="B1406" s="26" t="s">
        <v>18</v>
      </c>
      <c r="C1406" s="26" t="s">
        <v>72</v>
      </c>
      <c r="D1406" s="26" t="s">
        <v>28</v>
      </c>
      <c r="E1406" s="26" t="n">
        <v>97</v>
      </c>
    </row>
    <row r="1407" customFormat="false" ht="15" hidden="false" customHeight="false" outlineLevel="0" collapsed="false">
      <c r="A1407" s="25" t="n">
        <v>46269</v>
      </c>
      <c r="B1407" s="26" t="s">
        <v>18</v>
      </c>
      <c r="C1407" s="26" t="s">
        <v>72</v>
      </c>
      <c r="D1407" s="26" t="s">
        <v>26</v>
      </c>
      <c r="E1407" s="26" t="n">
        <v>40</v>
      </c>
    </row>
    <row r="1408" customFormat="false" ht="15" hidden="false" customHeight="false" outlineLevel="0" collapsed="false">
      <c r="A1408" s="25" t="n">
        <v>46269</v>
      </c>
      <c r="B1408" s="26" t="s">
        <v>18</v>
      </c>
      <c r="C1408" s="26" t="s">
        <v>73</v>
      </c>
      <c r="D1408" s="26" t="s">
        <v>26</v>
      </c>
      <c r="E1408" s="26" t="n">
        <v>41</v>
      </c>
    </row>
    <row r="1409" customFormat="false" ht="15" hidden="false" customHeight="false" outlineLevel="0" collapsed="false">
      <c r="A1409" s="25" t="n">
        <v>46269</v>
      </c>
      <c r="B1409" s="26" t="s">
        <v>18</v>
      </c>
      <c r="C1409" s="26" t="s">
        <v>73</v>
      </c>
      <c r="D1409" s="26" t="s">
        <v>29</v>
      </c>
      <c r="E1409" s="26" t="n">
        <v>23</v>
      </c>
    </row>
    <row r="1410" customFormat="false" ht="15" hidden="false" customHeight="false" outlineLevel="0" collapsed="false">
      <c r="A1410" s="25" t="n">
        <v>46269</v>
      </c>
      <c r="B1410" s="26" t="s">
        <v>18</v>
      </c>
      <c r="C1410" s="26" t="s">
        <v>73</v>
      </c>
      <c r="D1410" s="26" t="s">
        <v>26</v>
      </c>
      <c r="E1410" s="26" t="n">
        <v>30</v>
      </c>
    </row>
    <row r="1411" customFormat="false" ht="15" hidden="false" customHeight="false" outlineLevel="0" collapsed="false">
      <c r="A1411" s="25" t="n">
        <v>46269</v>
      </c>
      <c r="B1411" s="26" t="s">
        <v>18</v>
      </c>
      <c r="C1411" s="26" t="s">
        <v>73</v>
      </c>
      <c r="D1411" s="26" t="s">
        <v>31</v>
      </c>
      <c r="E1411" s="26" t="n">
        <v>63</v>
      </c>
    </row>
    <row r="1412" customFormat="false" ht="15" hidden="false" customHeight="false" outlineLevel="0" collapsed="false">
      <c r="A1412" s="25" t="n">
        <v>46270</v>
      </c>
      <c r="B1412" s="26" t="s">
        <v>16</v>
      </c>
      <c r="C1412" s="26" t="s">
        <v>72</v>
      </c>
      <c r="D1412" s="26" t="s">
        <v>31</v>
      </c>
      <c r="E1412" s="26" t="n">
        <v>59</v>
      </c>
    </row>
    <row r="1413" customFormat="false" ht="15" hidden="false" customHeight="false" outlineLevel="0" collapsed="false">
      <c r="A1413" s="25" t="n">
        <v>46270</v>
      </c>
      <c r="B1413" s="26" t="s">
        <v>16</v>
      </c>
      <c r="C1413" s="26" t="s">
        <v>73</v>
      </c>
      <c r="D1413" s="26" t="s">
        <v>29</v>
      </c>
      <c r="E1413" s="26" t="n">
        <v>24</v>
      </c>
    </row>
    <row r="1414" customFormat="false" ht="15" hidden="false" customHeight="false" outlineLevel="0" collapsed="false">
      <c r="A1414" s="25" t="n">
        <v>46270</v>
      </c>
      <c r="B1414" s="26" t="s">
        <v>16</v>
      </c>
      <c r="C1414" s="26" t="s">
        <v>73</v>
      </c>
      <c r="D1414" s="26" t="s">
        <v>31</v>
      </c>
      <c r="E1414" s="26" t="n">
        <v>40</v>
      </c>
    </row>
    <row r="1415" customFormat="false" ht="15" hidden="false" customHeight="false" outlineLevel="0" collapsed="false">
      <c r="A1415" s="25" t="n">
        <v>46270</v>
      </c>
      <c r="B1415" s="26" t="s">
        <v>16</v>
      </c>
      <c r="C1415" s="26" t="s">
        <v>73</v>
      </c>
      <c r="D1415" s="26" t="s">
        <v>26</v>
      </c>
      <c r="E1415" s="26" t="n">
        <v>36</v>
      </c>
    </row>
    <row r="1416" customFormat="false" ht="15" hidden="false" customHeight="false" outlineLevel="0" collapsed="false">
      <c r="A1416" s="25" t="n">
        <v>46270</v>
      </c>
      <c r="B1416" s="26" t="s">
        <v>16</v>
      </c>
      <c r="C1416" s="26" t="s">
        <v>74</v>
      </c>
      <c r="D1416" s="26" t="s">
        <v>26</v>
      </c>
      <c r="E1416" s="26" t="n">
        <v>79</v>
      </c>
    </row>
    <row r="1417" customFormat="false" ht="15" hidden="false" customHeight="false" outlineLevel="0" collapsed="false">
      <c r="A1417" s="25" t="n">
        <v>46270</v>
      </c>
      <c r="B1417" s="26" t="s">
        <v>16</v>
      </c>
      <c r="C1417" s="26" t="s">
        <v>74</v>
      </c>
      <c r="D1417" s="26" t="s">
        <v>30</v>
      </c>
      <c r="E1417" s="26" t="n">
        <v>29</v>
      </c>
    </row>
    <row r="1418" customFormat="false" ht="15" hidden="false" customHeight="false" outlineLevel="0" collapsed="false">
      <c r="A1418" s="25" t="n">
        <v>46270</v>
      </c>
      <c r="B1418" s="26" t="s">
        <v>16</v>
      </c>
      <c r="C1418" s="26" t="s">
        <v>74</v>
      </c>
      <c r="D1418" s="26" t="s">
        <v>29</v>
      </c>
      <c r="E1418" s="26" t="n">
        <v>33</v>
      </c>
    </row>
    <row r="1419" customFormat="false" ht="15" hidden="false" customHeight="false" outlineLevel="0" collapsed="false">
      <c r="A1419" s="25" t="n">
        <v>46270</v>
      </c>
      <c r="B1419" s="26" t="s">
        <v>17</v>
      </c>
      <c r="C1419" s="26" t="s">
        <v>72</v>
      </c>
      <c r="D1419" s="26" t="s">
        <v>28</v>
      </c>
      <c r="E1419" s="26" t="n">
        <v>23</v>
      </c>
    </row>
    <row r="1420" customFormat="false" ht="15" hidden="false" customHeight="false" outlineLevel="0" collapsed="false">
      <c r="A1420" s="25" t="n">
        <v>46270</v>
      </c>
      <c r="B1420" s="26" t="s">
        <v>17</v>
      </c>
      <c r="C1420" s="26" t="s">
        <v>72</v>
      </c>
      <c r="D1420" s="26" t="s">
        <v>28</v>
      </c>
      <c r="E1420" s="26" t="n">
        <v>47</v>
      </c>
    </row>
    <row r="1421" customFormat="false" ht="15" hidden="false" customHeight="false" outlineLevel="0" collapsed="false">
      <c r="A1421" s="25" t="n">
        <v>46270</v>
      </c>
      <c r="B1421" s="26" t="s">
        <v>17</v>
      </c>
      <c r="C1421" s="26" t="s">
        <v>72</v>
      </c>
      <c r="D1421" s="26" t="s">
        <v>27</v>
      </c>
      <c r="E1421" s="26" t="n">
        <v>19</v>
      </c>
    </row>
    <row r="1422" customFormat="false" ht="15" hidden="false" customHeight="false" outlineLevel="0" collapsed="false">
      <c r="A1422" s="25" t="n">
        <v>46270</v>
      </c>
      <c r="B1422" s="26" t="s">
        <v>17</v>
      </c>
      <c r="C1422" s="26" t="s">
        <v>72</v>
      </c>
      <c r="D1422" s="26" t="s">
        <v>26</v>
      </c>
      <c r="E1422" s="26" t="n">
        <v>44</v>
      </c>
    </row>
    <row r="1423" customFormat="false" ht="15" hidden="false" customHeight="false" outlineLevel="0" collapsed="false">
      <c r="A1423" s="25" t="n">
        <v>46270</v>
      </c>
      <c r="B1423" s="26" t="s">
        <v>17</v>
      </c>
      <c r="C1423" s="26" t="s">
        <v>73</v>
      </c>
      <c r="D1423" s="26" t="s">
        <v>31</v>
      </c>
      <c r="E1423" s="26" t="n">
        <v>65</v>
      </c>
    </row>
    <row r="1424" customFormat="false" ht="15" hidden="false" customHeight="false" outlineLevel="0" collapsed="false">
      <c r="A1424" s="25" t="n">
        <v>46270</v>
      </c>
      <c r="B1424" s="26" t="s">
        <v>17</v>
      </c>
      <c r="C1424" s="26" t="s">
        <v>73</v>
      </c>
      <c r="D1424" s="26" t="s">
        <v>27</v>
      </c>
      <c r="E1424" s="26" t="n">
        <v>11</v>
      </c>
    </row>
    <row r="1425" customFormat="false" ht="15" hidden="false" customHeight="false" outlineLevel="0" collapsed="false">
      <c r="A1425" s="25" t="n">
        <v>46270</v>
      </c>
      <c r="B1425" s="26" t="s">
        <v>17</v>
      </c>
      <c r="C1425" s="26" t="s">
        <v>73</v>
      </c>
      <c r="D1425" s="26" t="s">
        <v>28</v>
      </c>
      <c r="E1425" s="26" t="n">
        <v>83</v>
      </c>
    </row>
    <row r="1426" customFormat="false" ht="15" hidden="false" customHeight="false" outlineLevel="0" collapsed="false">
      <c r="A1426" s="25" t="n">
        <v>46270</v>
      </c>
      <c r="B1426" s="26" t="s">
        <v>17</v>
      </c>
      <c r="C1426" s="26" t="s">
        <v>73</v>
      </c>
      <c r="D1426" s="26" t="s">
        <v>26</v>
      </c>
      <c r="E1426" s="26" t="n">
        <v>33</v>
      </c>
    </row>
    <row r="1427" customFormat="false" ht="15" hidden="false" customHeight="false" outlineLevel="0" collapsed="false">
      <c r="A1427" s="25" t="n">
        <v>46270</v>
      </c>
      <c r="B1427" s="26" t="s">
        <v>17</v>
      </c>
      <c r="C1427" s="26" t="s">
        <v>74</v>
      </c>
      <c r="D1427" s="26" t="s">
        <v>27</v>
      </c>
      <c r="E1427" s="26" t="n">
        <v>21</v>
      </c>
    </row>
    <row r="1428" customFormat="false" ht="15" hidden="false" customHeight="false" outlineLevel="0" collapsed="false">
      <c r="A1428" s="25" t="n">
        <v>46270</v>
      </c>
      <c r="B1428" s="26" t="s">
        <v>17</v>
      </c>
      <c r="C1428" s="26" t="s">
        <v>74</v>
      </c>
      <c r="D1428" s="26" t="s">
        <v>26</v>
      </c>
      <c r="E1428" s="26" t="n">
        <v>50</v>
      </c>
    </row>
    <row r="1429" customFormat="false" ht="15" hidden="false" customHeight="false" outlineLevel="0" collapsed="false">
      <c r="A1429" s="25" t="n">
        <v>46270</v>
      </c>
      <c r="B1429" s="26" t="s">
        <v>17</v>
      </c>
      <c r="C1429" s="26" t="s">
        <v>74</v>
      </c>
      <c r="D1429" s="26" t="s">
        <v>31</v>
      </c>
      <c r="E1429" s="26" t="n">
        <v>25</v>
      </c>
    </row>
    <row r="1430" customFormat="false" ht="15" hidden="false" customHeight="false" outlineLevel="0" collapsed="false">
      <c r="A1430" s="25" t="n">
        <v>46270</v>
      </c>
      <c r="B1430" s="26" t="s">
        <v>18</v>
      </c>
      <c r="C1430" s="26" t="s">
        <v>72</v>
      </c>
      <c r="D1430" s="26" t="s">
        <v>27</v>
      </c>
      <c r="E1430" s="26" t="n">
        <v>25</v>
      </c>
    </row>
    <row r="1431" customFormat="false" ht="15" hidden="false" customHeight="false" outlineLevel="0" collapsed="false">
      <c r="A1431" s="25" t="n">
        <v>46270</v>
      </c>
      <c r="B1431" s="26" t="s">
        <v>18</v>
      </c>
      <c r="C1431" s="26" t="s">
        <v>72</v>
      </c>
      <c r="D1431" s="26" t="s">
        <v>29</v>
      </c>
      <c r="E1431" s="26" t="n">
        <v>11</v>
      </c>
    </row>
    <row r="1432" customFormat="false" ht="15" hidden="false" customHeight="false" outlineLevel="0" collapsed="false">
      <c r="A1432" s="25" t="n">
        <v>46270</v>
      </c>
      <c r="B1432" s="26" t="s">
        <v>18</v>
      </c>
      <c r="C1432" s="26" t="s">
        <v>72</v>
      </c>
      <c r="D1432" s="26" t="s">
        <v>26</v>
      </c>
      <c r="E1432" s="26" t="n">
        <v>39</v>
      </c>
    </row>
    <row r="1433" customFormat="false" ht="15" hidden="false" customHeight="false" outlineLevel="0" collapsed="false">
      <c r="A1433" s="25" t="n">
        <v>46270</v>
      </c>
      <c r="B1433" s="26" t="s">
        <v>18</v>
      </c>
      <c r="C1433" s="26" t="s">
        <v>72</v>
      </c>
      <c r="D1433" s="26" t="s">
        <v>26</v>
      </c>
      <c r="E1433" s="26" t="n">
        <v>59</v>
      </c>
    </row>
    <row r="1434" customFormat="false" ht="15" hidden="false" customHeight="false" outlineLevel="0" collapsed="false">
      <c r="A1434" s="25" t="n">
        <v>46270</v>
      </c>
      <c r="B1434" s="26" t="s">
        <v>18</v>
      </c>
      <c r="C1434" s="26" t="s">
        <v>73</v>
      </c>
      <c r="D1434" s="26" t="s">
        <v>27</v>
      </c>
      <c r="E1434" s="26" t="n">
        <v>42</v>
      </c>
    </row>
    <row r="1435" customFormat="false" ht="15" hidden="false" customHeight="false" outlineLevel="0" collapsed="false">
      <c r="A1435" s="25" t="n">
        <v>46270</v>
      </c>
      <c r="B1435" s="26" t="s">
        <v>18</v>
      </c>
      <c r="C1435" s="26" t="s">
        <v>73</v>
      </c>
      <c r="D1435" s="26" t="s">
        <v>26</v>
      </c>
      <c r="E1435" s="26" t="n">
        <v>15</v>
      </c>
    </row>
    <row r="1436" customFormat="false" ht="15" hidden="false" customHeight="false" outlineLevel="0" collapsed="false">
      <c r="A1436" s="25" t="n">
        <v>46270</v>
      </c>
      <c r="B1436" s="26" t="s">
        <v>18</v>
      </c>
      <c r="C1436" s="26" t="s">
        <v>74</v>
      </c>
      <c r="D1436" s="26" t="s">
        <v>27</v>
      </c>
      <c r="E1436" s="26" t="n">
        <v>13</v>
      </c>
    </row>
    <row r="1437" customFormat="false" ht="15" hidden="false" customHeight="false" outlineLevel="0" collapsed="false">
      <c r="A1437" s="25" t="n">
        <v>46270</v>
      </c>
      <c r="B1437" s="26" t="s">
        <v>18</v>
      </c>
      <c r="C1437" s="26" t="s">
        <v>74</v>
      </c>
      <c r="D1437" s="26" t="s">
        <v>26</v>
      </c>
      <c r="E1437" s="26" t="n">
        <v>72</v>
      </c>
    </row>
    <row r="1438" customFormat="false" ht="15" hidden="false" customHeight="false" outlineLevel="0" collapsed="false">
      <c r="A1438" s="25" t="n">
        <v>46271</v>
      </c>
      <c r="B1438" s="26" t="s">
        <v>16</v>
      </c>
      <c r="C1438" s="26" t="s">
        <v>73</v>
      </c>
      <c r="D1438" s="26" t="s">
        <v>27</v>
      </c>
      <c r="E1438" s="26" t="n">
        <v>26</v>
      </c>
    </row>
    <row r="1439" customFormat="false" ht="15" hidden="false" customHeight="false" outlineLevel="0" collapsed="false">
      <c r="A1439" s="25" t="n">
        <v>46271</v>
      </c>
      <c r="B1439" s="26" t="s">
        <v>16</v>
      </c>
      <c r="C1439" s="26" t="s">
        <v>73</v>
      </c>
      <c r="D1439" s="26" t="s">
        <v>32</v>
      </c>
      <c r="E1439" s="26" t="n">
        <v>14</v>
      </c>
    </row>
    <row r="1440" customFormat="false" ht="15" hidden="false" customHeight="false" outlineLevel="0" collapsed="false">
      <c r="A1440" s="25" t="n">
        <v>46271</v>
      </c>
      <c r="B1440" s="26" t="s">
        <v>16</v>
      </c>
      <c r="C1440" s="26" t="s">
        <v>73</v>
      </c>
      <c r="D1440" s="26" t="s">
        <v>29</v>
      </c>
      <c r="E1440" s="26" t="n">
        <v>40</v>
      </c>
    </row>
    <row r="1441" customFormat="false" ht="15" hidden="false" customHeight="false" outlineLevel="0" collapsed="false">
      <c r="A1441" s="25" t="n">
        <v>46271</v>
      </c>
      <c r="B1441" s="26" t="s">
        <v>16</v>
      </c>
      <c r="C1441" s="26" t="s">
        <v>74</v>
      </c>
      <c r="D1441" s="26" t="s">
        <v>29</v>
      </c>
      <c r="E1441" s="26" t="n">
        <v>18</v>
      </c>
    </row>
    <row r="1442" customFormat="false" ht="15" hidden="false" customHeight="false" outlineLevel="0" collapsed="false">
      <c r="A1442" s="25" t="n">
        <v>46271</v>
      </c>
      <c r="B1442" s="26" t="s">
        <v>16</v>
      </c>
      <c r="C1442" s="26" t="s">
        <v>74</v>
      </c>
      <c r="D1442" s="26" t="s">
        <v>30</v>
      </c>
      <c r="E1442" s="26" t="n">
        <v>24</v>
      </c>
    </row>
    <row r="1443" customFormat="false" ht="15" hidden="false" customHeight="false" outlineLevel="0" collapsed="false">
      <c r="A1443" s="25" t="n">
        <v>46271</v>
      </c>
      <c r="B1443" s="26" t="s">
        <v>17</v>
      </c>
      <c r="C1443" s="26" t="s">
        <v>72</v>
      </c>
      <c r="D1443" s="26" t="s">
        <v>30</v>
      </c>
      <c r="E1443" s="26" t="n">
        <v>30</v>
      </c>
    </row>
    <row r="1444" customFormat="false" ht="15" hidden="false" customHeight="false" outlineLevel="0" collapsed="false">
      <c r="A1444" s="25" t="n">
        <v>46271</v>
      </c>
      <c r="B1444" s="26" t="s">
        <v>17</v>
      </c>
      <c r="C1444" s="26" t="s">
        <v>74</v>
      </c>
      <c r="D1444" s="26" t="s">
        <v>31</v>
      </c>
      <c r="E1444" s="26" t="n">
        <v>55</v>
      </c>
    </row>
    <row r="1445" customFormat="false" ht="15" hidden="false" customHeight="false" outlineLevel="0" collapsed="false">
      <c r="A1445" s="25" t="n">
        <v>46271</v>
      </c>
      <c r="B1445" s="26" t="s">
        <v>17</v>
      </c>
      <c r="C1445" s="26" t="s">
        <v>74</v>
      </c>
      <c r="D1445" s="26" t="s">
        <v>26</v>
      </c>
      <c r="E1445" s="26" t="n">
        <v>41</v>
      </c>
    </row>
    <row r="1446" customFormat="false" ht="15" hidden="false" customHeight="false" outlineLevel="0" collapsed="false">
      <c r="A1446" s="25" t="n">
        <v>46271</v>
      </c>
      <c r="B1446" s="26" t="s">
        <v>17</v>
      </c>
      <c r="C1446" s="26" t="s">
        <v>74</v>
      </c>
      <c r="D1446" s="26" t="s">
        <v>26</v>
      </c>
      <c r="E1446" s="26" t="n">
        <v>19</v>
      </c>
    </row>
    <row r="1447" customFormat="false" ht="15" hidden="false" customHeight="false" outlineLevel="0" collapsed="false">
      <c r="A1447" s="25" t="n">
        <v>46271</v>
      </c>
      <c r="B1447" s="26" t="s">
        <v>18</v>
      </c>
      <c r="C1447" s="26" t="s">
        <v>72</v>
      </c>
      <c r="D1447" s="26" t="s">
        <v>28</v>
      </c>
      <c r="E1447" s="26" t="n">
        <v>37</v>
      </c>
    </row>
    <row r="1448" customFormat="false" ht="15" hidden="false" customHeight="false" outlineLevel="0" collapsed="false">
      <c r="A1448" s="25" t="n">
        <v>46271</v>
      </c>
      <c r="B1448" s="26" t="s">
        <v>18</v>
      </c>
      <c r="C1448" s="26" t="s">
        <v>72</v>
      </c>
      <c r="D1448" s="26" t="s">
        <v>26</v>
      </c>
      <c r="E1448" s="26" t="n">
        <v>30</v>
      </c>
    </row>
    <row r="1449" customFormat="false" ht="15" hidden="false" customHeight="false" outlineLevel="0" collapsed="false">
      <c r="A1449" s="25" t="n">
        <v>46271</v>
      </c>
      <c r="B1449" s="26" t="s">
        <v>18</v>
      </c>
      <c r="C1449" s="26" t="s">
        <v>72</v>
      </c>
      <c r="D1449" s="26" t="s">
        <v>30</v>
      </c>
      <c r="E1449" s="26" t="n">
        <v>67</v>
      </c>
    </row>
    <row r="1450" customFormat="false" ht="15" hidden="false" customHeight="false" outlineLevel="0" collapsed="false">
      <c r="A1450" s="25" t="n">
        <v>46271</v>
      </c>
      <c r="B1450" s="26" t="s">
        <v>18</v>
      </c>
      <c r="C1450" s="26" t="s">
        <v>73</v>
      </c>
      <c r="D1450" s="26" t="s">
        <v>29</v>
      </c>
      <c r="E1450" s="26" t="n">
        <v>18</v>
      </c>
    </row>
    <row r="1451" customFormat="false" ht="15" hidden="false" customHeight="false" outlineLevel="0" collapsed="false">
      <c r="A1451" s="25" t="n">
        <v>46271</v>
      </c>
      <c r="B1451" s="26" t="s">
        <v>18</v>
      </c>
      <c r="C1451" s="26" t="s">
        <v>73</v>
      </c>
      <c r="D1451" s="26" t="s">
        <v>26</v>
      </c>
      <c r="E1451" s="26" t="n">
        <v>27</v>
      </c>
    </row>
    <row r="1452" customFormat="false" ht="15" hidden="false" customHeight="false" outlineLevel="0" collapsed="false">
      <c r="A1452" s="25" t="n">
        <v>46271</v>
      </c>
      <c r="B1452" s="26" t="s">
        <v>18</v>
      </c>
      <c r="C1452" s="26" t="s">
        <v>73</v>
      </c>
      <c r="D1452" s="26" t="s">
        <v>28</v>
      </c>
      <c r="E1452" s="26" t="n">
        <v>19</v>
      </c>
    </row>
    <row r="1453" customFormat="false" ht="15" hidden="false" customHeight="false" outlineLevel="0" collapsed="false">
      <c r="A1453" s="25" t="n">
        <v>46271</v>
      </c>
      <c r="B1453" s="26" t="s">
        <v>18</v>
      </c>
      <c r="C1453" s="26" t="s">
        <v>73</v>
      </c>
      <c r="D1453" s="26" t="s">
        <v>27</v>
      </c>
      <c r="E1453" s="26" t="n">
        <v>17</v>
      </c>
    </row>
    <row r="1454" customFormat="false" ht="15" hidden="false" customHeight="false" outlineLevel="0" collapsed="false">
      <c r="A1454" s="25" t="n">
        <v>46271</v>
      </c>
      <c r="B1454" s="26" t="s">
        <v>18</v>
      </c>
      <c r="C1454" s="26" t="s">
        <v>74</v>
      </c>
      <c r="D1454" s="26" t="s">
        <v>26</v>
      </c>
      <c r="E1454" s="26" t="n">
        <v>60</v>
      </c>
    </row>
    <row r="1455" customFormat="false" ht="15" hidden="false" customHeight="false" outlineLevel="0" collapsed="false">
      <c r="A1455" s="25" t="n">
        <v>46271</v>
      </c>
      <c r="B1455" s="26" t="s">
        <v>18</v>
      </c>
      <c r="C1455" s="26" t="s">
        <v>74</v>
      </c>
      <c r="D1455" s="26" t="s">
        <v>29</v>
      </c>
      <c r="E1455" s="26" t="n">
        <v>19</v>
      </c>
    </row>
    <row r="1456" customFormat="false" ht="15" hidden="false" customHeight="false" outlineLevel="0" collapsed="false">
      <c r="A1456" s="25" t="n">
        <v>46271</v>
      </c>
      <c r="B1456" s="26" t="s">
        <v>18</v>
      </c>
      <c r="C1456" s="26" t="s">
        <v>74</v>
      </c>
      <c r="D1456" s="26" t="s">
        <v>26</v>
      </c>
      <c r="E1456" s="26" t="n">
        <v>12</v>
      </c>
    </row>
    <row r="1457" customFormat="false" ht="15" hidden="false" customHeight="false" outlineLevel="0" collapsed="false">
      <c r="A1457" s="25" t="n">
        <v>46271</v>
      </c>
      <c r="B1457" s="26" t="s">
        <v>18</v>
      </c>
      <c r="C1457" s="26" t="s">
        <v>74</v>
      </c>
      <c r="D1457" s="26" t="s">
        <v>27</v>
      </c>
      <c r="E1457" s="26" t="n">
        <v>17</v>
      </c>
    </row>
    <row r="1458" customFormat="false" ht="15" hidden="false" customHeight="false" outlineLevel="0" collapsed="false">
      <c r="A1458" s="25" t="n">
        <v>46272</v>
      </c>
      <c r="B1458" s="26" t="s">
        <v>16</v>
      </c>
      <c r="C1458" s="26" t="s">
        <v>72</v>
      </c>
      <c r="D1458" s="26" t="s">
        <v>29</v>
      </c>
      <c r="E1458" s="26" t="n">
        <v>15</v>
      </c>
    </row>
    <row r="1459" customFormat="false" ht="15" hidden="false" customHeight="false" outlineLevel="0" collapsed="false">
      <c r="A1459" s="25" t="n">
        <v>46272</v>
      </c>
      <c r="B1459" s="26" t="s">
        <v>16</v>
      </c>
      <c r="C1459" s="26" t="s">
        <v>72</v>
      </c>
      <c r="D1459" s="26" t="s">
        <v>29</v>
      </c>
      <c r="E1459" s="26" t="n">
        <v>12</v>
      </c>
    </row>
    <row r="1460" customFormat="false" ht="15" hidden="false" customHeight="false" outlineLevel="0" collapsed="false">
      <c r="A1460" s="25" t="n">
        <v>46272</v>
      </c>
      <c r="B1460" s="26" t="s">
        <v>16</v>
      </c>
      <c r="C1460" s="26" t="s">
        <v>72</v>
      </c>
      <c r="D1460" s="26" t="s">
        <v>28</v>
      </c>
      <c r="E1460" s="26" t="n">
        <v>13</v>
      </c>
    </row>
    <row r="1461" customFormat="false" ht="15" hidden="false" customHeight="false" outlineLevel="0" collapsed="false">
      <c r="A1461" s="25" t="n">
        <v>46272</v>
      </c>
      <c r="B1461" s="26" t="s">
        <v>16</v>
      </c>
      <c r="C1461" s="26" t="s">
        <v>73</v>
      </c>
      <c r="D1461" s="26" t="s">
        <v>27</v>
      </c>
      <c r="E1461" s="26" t="n">
        <v>45</v>
      </c>
    </row>
    <row r="1462" customFormat="false" ht="15" hidden="false" customHeight="false" outlineLevel="0" collapsed="false">
      <c r="A1462" s="25" t="n">
        <v>46272</v>
      </c>
      <c r="B1462" s="26" t="s">
        <v>16</v>
      </c>
      <c r="C1462" s="26" t="s">
        <v>73</v>
      </c>
      <c r="D1462" s="26" t="s">
        <v>29</v>
      </c>
      <c r="E1462" s="26" t="n">
        <v>53</v>
      </c>
    </row>
    <row r="1463" customFormat="false" ht="15" hidden="false" customHeight="false" outlineLevel="0" collapsed="false">
      <c r="A1463" s="25" t="n">
        <v>46272</v>
      </c>
      <c r="B1463" s="26" t="s">
        <v>16</v>
      </c>
      <c r="C1463" s="26" t="s">
        <v>73</v>
      </c>
      <c r="D1463" s="26" t="s">
        <v>29</v>
      </c>
      <c r="E1463" s="26" t="n">
        <v>19</v>
      </c>
    </row>
    <row r="1464" customFormat="false" ht="15" hidden="false" customHeight="false" outlineLevel="0" collapsed="false">
      <c r="A1464" s="25" t="n">
        <v>46272</v>
      </c>
      <c r="B1464" s="26" t="s">
        <v>16</v>
      </c>
      <c r="C1464" s="26" t="s">
        <v>73</v>
      </c>
      <c r="D1464" s="26" t="s">
        <v>27</v>
      </c>
      <c r="E1464" s="26" t="n">
        <v>20</v>
      </c>
    </row>
    <row r="1465" customFormat="false" ht="15" hidden="false" customHeight="false" outlineLevel="0" collapsed="false">
      <c r="A1465" s="25" t="n">
        <v>46272</v>
      </c>
      <c r="B1465" s="26" t="s">
        <v>16</v>
      </c>
      <c r="C1465" s="26" t="s">
        <v>74</v>
      </c>
      <c r="D1465" s="26" t="s">
        <v>26</v>
      </c>
      <c r="E1465" s="26" t="n">
        <v>16</v>
      </c>
    </row>
    <row r="1466" customFormat="false" ht="15" hidden="false" customHeight="false" outlineLevel="0" collapsed="false">
      <c r="A1466" s="25" t="n">
        <v>46272</v>
      </c>
      <c r="B1466" s="26" t="s">
        <v>17</v>
      </c>
      <c r="C1466" s="26" t="s">
        <v>72</v>
      </c>
      <c r="D1466" s="26" t="s">
        <v>26</v>
      </c>
      <c r="E1466" s="26" t="n">
        <v>24</v>
      </c>
    </row>
    <row r="1467" customFormat="false" ht="15" hidden="false" customHeight="false" outlineLevel="0" collapsed="false">
      <c r="A1467" s="25" t="n">
        <v>46272</v>
      </c>
      <c r="B1467" s="26" t="s">
        <v>17</v>
      </c>
      <c r="C1467" s="26" t="s">
        <v>72</v>
      </c>
      <c r="D1467" s="26" t="s">
        <v>28</v>
      </c>
      <c r="E1467" s="26" t="n">
        <v>22</v>
      </c>
    </row>
    <row r="1468" customFormat="false" ht="15" hidden="false" customHeight="false" outlineLevel="0" collapsed="false">
      <c r="A1468" s="25" t="n">
        <v>46272</v>
      </c>
      <c r="B1468" s="26" t="s">
        <v>17</v>
      </c>
      <c r="C1468" s="26" t="s">
        <v>72</v>
      </c>
      <c r="D1468" s="26" t="s">
        <v>26</v>
      </c>
      <c r="E1468" s="26" t="n">
        <v>14</v>
      </c>
    </row>
    <row r="1469" customFormat="false" ht="15" hidden="false" customHeight="false" outlineLevel="0" collapsed="false">
      <c r="A1469" s="25" t="n">
        <v>46272</v>
      </c>
      <c r="B1469" s="26" t="s">
        <v>17</v>
      </c>
      <c r="C1469" s="26" t="s">
        <v>72</v>
      </c>
      <c r="D1469" s="26" t="s">
        <v>27</v>
      </c>
      <c r="E1469" s="26" t="n">
        <v>33</v>
      </c>
    </row>
    <row r="1470" customFormat="false" ht="15" hidden="false" customHeight="false" outlineLevel="0" collapsed="false">
      <c r="A1470" s="25" t="n">
        <v>46272</v>
      </c>
      <c r="B1470" s="26" t="s">
        <v>17</v>
      </c>
      <c r="C1470" s="26" t="s">
        <v>72</v>
      </c>
      <c r="D1470" s="26" t="s">
        <v>27</v>
      </c>
      <c r="E1470" s="26" t="n">
        <v>19</v>
      </c>
    </row>
    <row r="1471" customFormat="false" ht="15" hidden="false" customHeight="false" outlineLevel="0" collapsed="false">
      <c r="A1471" s="25" t="n">
        <v>46272</v>
      </c>
      <c r="B1471" s="26" t="s">
        <v>17</v>
      </c>
      <c r="C1471" s="26" t="s">
        <v>72</v>
      </c>
      <c r="D1471" s="26" t="s">
        <v>26</v>
      </c>
      <c r="E1471" s="26" t="n">
        <v>33</v>
      </c>
    </row>
    <row r="1472" customFormat="false" ht="15" hidden="false" customHeight="false" outlineLevel="0" collapsed="false">
      <c r="A1472" s="25" t="n">
        <v>46272</v>
      </c>
      <c r="B1472" s="26" t="s">
        <v>17</v>
      </c>
      <c r="C1472" s="26" t="s">
        <v>73</v>
      </c>
      <c r="D1472" s="26" t="s">
        <v>26</v>
      </c>
      <c r="E1472" s="26" t="n">
        <v>18</v>
      </c>
    </row>
    <row r="1473" customFormat="false" ht="15" hidden="false" customHeight="false" outlineLevel="0" collapsed="false">
      <c r="A1473" s="25" t="n">
        <v>46272</v>
      </c>
      <c r="B1473" s="26" t="s">
        <v>17</v>
      </c>
      <c r="C1473" s="26" t="s">
        <v>74</v>
      </c>
      <c r="D1473" s="26" t="s">
        <v>27</v>
      </c>
      <c r="E1473" s="26" t="n">
        <v>14</v>
      </c>
    </row>
    <row r="1474" customFormat="false" ht="15" hidden="false" customHeight="false" outlineLevel="0" collapsed="false">
      <c r="A1474" s="25" t="n">
        <v>46272</v>
      </c>
      <c r="B1474" s="26" t="s">
        <v>17</v>
      </c>
      <c r="C1474" s="26" t="s">
        <v>74</v>
      </c>
      <c r="D1474" s="26" t="s">
        <v>26</v>
      </c>
      <c r="E1474" s="26" t="n">
        <v>58</v>
      </c>
    </row>
    <row r="1475" customFormat="false" ht="15" hidden="false" customHeight="false" outlineLevel="0" collapsed="false">
      <c r="A1475" s="25" t="n">
        <v>46272</v>
      </c>
      <c r="B1475" s="26" t="s">
        <v>17</v>
      </c>
      <c r="C1475" s="26" t="s">
        <v>74</v>
      </c>
      <c r="D1475" s="26" t="s">
        <v>29</v>
      </c>
      <c r="E1475" s="26" t="n">
        <v>6</v>
      </c>
    </row>
    <row r="1476" customFormat="false" ht="15" hidden="false" customHeight="false" outlineLevel="0" collapsed="false">
      <c r="A1476" s="25" t="n">
        <v>46272</v>
      </c>
      <c r="B1476" s="26" t="s">
        <v>18</v>
      </c>
      <c r="C1476" s="26" t="s">
        <v>72</v>
      </c>
      <c r="D1476" s="26" t="s">
        <v>26</v>
      </c>
      <c r="E1476" s="26" t="n">
        <v>18</v>
      </c>
    </row>
    <row r="1477" customFormat="false" ht="15" hidden="false" customHeight="false" outlineLevel="0" collapsed="false">
      <c r="A1477" s="25" t="n">
        <v>46272</v>
      </c>
      <c r="B1477" s="26" t="s">
        <v>18</v>
      </c>
      <c r="C1477" s="26" t="s">
        <v>72</v>
      </c>
      <c r="D1477" s="26" t="s">
        <v>26</v>
      </c>
      <c r="E1477" s="26" t="n">
        <v>40</v>
      </c>
    </row>
    <row r="1478" customFormat="false" ht="15" hidden="false" customHeight="false" outlineLevel="0" collapsed="false">
      <c r="A1478" s="25" t="n">
        <v>46272</v>
      </c>
      <c r="B1478" s="26" t="s">
        <v>18</v>
      </c>
      <c r="C1478" s="26" t="s">
        <v>72</v>
      </c>
      <c r="D1478" s="26" t="s">
        <v>28</v>
      </c>
      <c r="E1478" s="26" t="n">
        <v>81</v>
      </c>
    </row>
    <row r="1479" customFormat="false" ht="15" hidden="false" customHeight="false" outlineLevel="0" collapsed="false">
      <c r="A1479" s="25" t="n">
        <v>46272</v>
      </c>
      <c r="B1479" s="26" t="s">
        <v>18</v>
      </c>
      <c r="C1479" s="26" t="s">
        <v>72</v>
      </c>
      <c r="D1479" s="26" t="s">
        <v>27</v>
      </c>
      <c r="E1479" s="26" t="n">
        <v>32</v>
      </c>
    </row>
    <row r="1480" customFormat="false" ht="15" hidden="false" customHeight="false" outlineLevel="0" collapsed="false">
      <c r="A1480" s="25" t="n">
        <v>46272</v>
      </c>
      <c r="B1480" s="26" t="s">
        <v>18</v>
      </c>
      <c r="C1480" s="26" t="s">
        <v>72</v>
      </c>
      <c r="D1480" s="26" t="s">
        <v>29</v>
      </c>
      <c r="E1480" s="26" t="n">
        <v>15</v>
      </c>
    </row>
    <row r="1481" customFormat="false" ht="15" hidden="false" customHeight="false" outlineLevel="0" collapsed="false">
      <c r="A1481" s="25" t="n">
        <v>46272</v>
      </c>
      <c r="B1481" s="26" t="s">
        <v>18</v>
      </c>
      <c r="C1481" s="26" t="s">
        <v>73</v>
      </c>
      <c r="D1481" s="26" t="s">
        <v>31</v>
      </c>
      <c r="E1481" s="26" t="n">
        <v>28</v>
      </c>
    </row>
    <row r="1482" customFormat="false" ht="15" hidden="false" customHeight="false" outlineLevel="0" collapsed="false">
      <c r="A1482" s="25" t="n">
        <v>46272</v>
      </c>
      <c r="B1482" s="26" t="s">
        <v>18</v>
      </c>
      <c r="C1482" s="26" t="s">
        <v>73</v>
      </c>
      <c r="D1482" s="26" t="s">
        <v>26</v>
      </c>
      <c r="E1482" s="26" t="n">
        <v>23</v>
      </c>
    </row>
    <row r="1483" customFormat="false" ht="15" hidden="false" customHeight="false" outlineLevel="0" collapsed="false">
      <c r="A1483" s="25" t="n">
        <v>46272</v>
      </c>
      <c r="B1483" s="26" t="s">
        <v>18</v>
      </c>
      <c r="C1483" s="26" t="s">
        <v>73</v>
      </c>
      <c r="D1483" s="26" t="s">
        <v>27</v>
      </c>
      <c r="E1483" s="26" t="n">
        <v>26</v>
      </c>
    </row>
    <row r="1484" customFormat="false" ht="15" hidden="false" customHeight="false" outlineLevel="0" collapsed="false">
      <c r="A1484" s="25" t="n">
        <v>46272</v>
      </c>
      <c r="B1484" s="26" t="s">
        <v>18</v>
      </c>
      <c r="C1484" s="26" t="s">
        <v>74</v>
      </c>
      <c r="D1484" s="26" t="s">
        <v>26</v>
      </c>
      <c r="E1484" s="26" t="n">
        <v>26</v>
      </c>
    </row>
    <row r="1485" customFormat="false" ht="15" hidden="false" customHeight="false" outlineLevel="0" collapsed="false">
      <c r="A1485" s="25" t="n">
        <v>46272</v>
      </c>
      <c r="B1485" s="26" t="s">
        <v>18</v>
      </c>
      <c r="C1485" s="26" t="s">
        <v>74</v>
      </c>
      <c r="D1485" s="26" t="s">
        <v>32</v>
      </c>
      <c r="E1485" s="26" t="n">
        <v>26</v>
      </c>
    </row>
    <row r="1486" customFormat="false" ht="15" hidden="false" customHeight="false" outlineLevel="0" collapsed="false">
      <c r="A1486" s="25" t="n">
        <v>46273</v>
      </c>
      <c r="B1486" s="26" t="s">
        <v>16</v>
      </c>
      <c r="C1486" s="26" t="s">
        <v>72</v>
      </c>
      <c r="D1486" s="26" t="s">
        <v>27</v>
      </c>
      <c r="E1486" s="26" t="n">
        <v>51</v>
      </c>
    </row>
    <row r="1487" customFormat="false" ht="15" hidden="false" customHeight="false" outlineLevel="0" collapsed="false">
      <c r="A1487" s="25" t="n">
        <v>46273</v>
      </c>
      <c r="B1487" s="26" t="s">
        <v>16</v>
      </c>
      <c r="C1487" s="26" t="s">
        <v>72</v>
      </c>
      <c r="D1487" s="26" t="s">
        <v>27</v>
      </c>
      <c r="E1487" s="26" t="n">
        <v>11</v>
      </c>
    </row>
    <row r="1488" customFormat="false" ht="15" hidden="false" customHeight="false" outlineLevel="0" collapsed="false">
      <c r="A1488" s="25" t="n">
        <v>46273</v>
      </c>
      <c r="B1488" s="26" t="s">
        <v>16</v>
      </c>
      <c r="C1488" s="26" t="s">
        <v>73</v>
      </c>
      <c r="D1488" s="26" t="s">
        <v>29</v>
      </c>
      <c r="E1488" s="26" t="n">
        <v>26</v>
      </c>
    </row>
    <row r="1489" customFormat="false" ht="15" hidden="false" customHeight="false" outlineLevel="0" collapsed="false">
      <c r="A1489" s="25" t="n">
        <v>46273</v>
      </c>
      <c r="B1489" s="26" t="s">
        <v>16</v>
      </c>
      <c r="C1489" s="26" t="s">
        <v>73</v>
      </c>
      <c r="D1489" s="26" t="s">
        <v>26</v>
      </c>
      <c r="E1489" s="26" t="n">
        <v>24</v>
      </c>
    </row>
    <row r="1490" customFormat="false" ht="15" hidden="false" customHeight="false" outlineLevel="0" collapsed="false">
      <c r="A1490" s="25" t="n">
        <v>46273</v>
      </c>
      <c r="B1490" s="26" t="s">
        <v>16</v>
      </c>
      <c r="C1490" s="26" t="s">
        <v>73</v>
      </c>
      <c r="D1490" s="26" t="s">
        <v>28</v>
      </c>
      <c r="E1490" s="26" t="n">
        <v>65</v>
      </c>
    </row>
    <row r="1491" customFormat="false" ht="15" hidden="false" customHeight="false" outlineLevel="0" collapsed="false">
      <c r="A1491" s="25" t="n">
        <v>46273</v>
      </c>
      <c r="B1491" s="26" t="s">
        <v>16</v>
      </c>
      <c r="C1491" s="26" t="s">
        <v>74</v>
      </c>
      <c r="D1491" s="26" t="s">
        <v>30</v>
      </c>
      <c r="E1491" s="26" t="n">
        <v>23</v>
      </c>
    </row>
    <row r="1492" customFormat="false" ht="15" hidden="false" customHeight="false" outlineLevel="0" collapsed="false">
      <c r="A1492" s="25" t="n">
        <v>46273</v>
      </c>
      <c r="B1492" s="26" t="s">
        <v>16</v>
      </c>
      <c r="C1492" s="26" t="s">
        <v>74</v>
      </c>
      <c r="D1492" s="26" t="s">
        <v>30</v>
      </c>
      <c r="E1492" s="26" t="n">
        <v>40</v>
      </c>
    </row>
    <row r="1493" customFormat="false" ht="15" hidden="false" customHeight="false" outlineLevel="0" collapsed="false">
      <c r="A1493" s="25" t="n">
        <v>46273</v>
      </c>
      <c r="B1493" s="26" t="s">
        <v>17</v>
      </c>
      <c r="C1493" s="26" t="s">
        <v>72</v>
      </c>
      <c r="D1493" s="26" t="s">
        <v>27</v>
      </c>
      <c r="E1493" s="26" t="n">
        <v>19</v>
      </c>
    </row>
    <row r="1494" customFormat="false" ht="15" hidden="false" customHeight="false" outlineLevel="0" collapsed="false">
      <c r="A1494" s="25" t="n">
        <v>46273</v>
      </c>
      <c r="B1494" s="26" t="s">
        <v>17</v>
      </c>
      <c r="C1494" s="26" t="s">
        <v>72</v>
      </c>
      <c r="D1494" s="26" t="s">
        <v>29</v>
      </c>
      <c r="E1494" s="26" t="n">
        <v>7</v>
      </c>
    </row>
    <row r="1495" customFormat="false" ht="15" hidden="false" customHeight="false" outlineLevel="0" collapsed="false">
      <c r="A1495" s="25" t="n">
        <v>46273</v>
      </c>
      <c r="B1495" s="26" t="s">
        <v>17</v>
      </c>
      <c r="C1495" s="26" t="s">
        <v>72</v>
      </c>
      <c r="D1495" s="26" t="s">
        <v>28</v>
      </c>
      <c r="E1495" s="26" t="n">
        <v>64</v>
      </c>
    </row>
    <row r="1496" customFormat="false" ht="15" hidden="false" customHeight="false" outlineLevel="0" collapsed="false">
      <c r="A1496" s="25" t="n">
        <v>46273</v>
      </c>
      <c r="B1496" s="26" t="s">
        <v>17</v>
      </c>
      <c r="C1496" s="26" t="s">
        <v>72</v>
      </c>
      <c r="D1496" s="26" t="s">
        <v>28</v>
      </c>
      <c r="E1496" s="26" t="n">
        <v>16</v>
      </c>
    </row>
    <row r="1497" customFormat="false" ht="15" hidden="false" customHeight="false" outlineLevel="0" collapsed="false">
      <c r="A1497" s="25" t="n">
        <v>46273</v>
      </c>
      <c r="B1497" s="26" t="s">
        <v>17</v>
      </c>
      <c r="C1497" s="26" t="s">
        <v>73</v>
      </c>
      <c r="D1497" s="26" t="s">
        <v>29</v>
      </c>
      <c r="E1497" s="26" t="n">
        <v>39</v>
      </c>
    </row>
    <row r="1498" customFormat="false" ht="15" hidden="false" customHeight="false" outlineLevel="0" collapsed="false">
      <c r="A1498" s="25" t="n">
        <v>46273</v>
      </c>
      <c r="B1498" s="26" t="s">
        <v>17</v>
      </c>
      <c r="C1498" s="26" t="s">
        <v>73</v>
      </c>
      <c r="D1498" s="26" t="s">
        <v>30</v>
      </c>
      <c r="E1498" s="26" t="n">
        <v>26</v>
      </c>
    </row>
    <row r="1499" customFormat="false" ht="15" hidden="false" customHeight="false" outlineLevel="0" collapsed="false">
      <c r="A1499" s="25" t="n">
        <v>46273</v>
      </c>
      <c r="B1499" s="26" t="s">
        <v>17</v>
      </c>
      <c r="C1499" s="26" t="s">
        <v>73</v>
      </c>
      <c r="D1499" s="26" t="s">
        <v>27</v>
      </c>
      <c r="E1499" s="26" t="n">
        <v>47</v>
      </c>
    </row>
    <row r="1500" customFormat="false" ht="15" hidden="false" customHeight="false" outlineLevel="0" collapsed="false">
      <c r="A1500" s="25" t="n">
        <v>46273</v>
      </c>
      <c r="B1500" s="26" t="s">
        <v>17</v>
      </c>
      <c r="C1500" s="26" t="s">
        <v>73</v>
      </c>
      <c r="D1500" s="26" t="s">
        <v>28</v>
      </c>
      <c r="E1500" s="26" t="n">
        <v>23</v>
      </c>
    </row>
    <row r="1501" customFormat="false" ht="15" hidden="false" customHeight="false" outlineLevel="0" collapsed="false">
      <c r="A1501" s="25" t="n">
        <v>46273</v>
      </c>
      <c r="B1501" s="26" t="s">
        <v>17</v>
      </c>
      <c r="C1501" s="26" t="s">
        <v>74</v>
      </c>
      <c r="D1501" s="26" t="s">
        <v>32</v>
      </c>
      <c r="E1501" s="26" t="n">
        <v>19</v>
      </c>
    </row>
    <row r="1502" customFormat="false" ht="15" hidden="false" customHeight="false" outlineLevel="0" collapsed="false">
      <c r="A1502" s="25" t="n">
        <v>46273</v>
      </c>
      <c r="B1502" s="26" t="s">
        <v>17</v>
      </c>
      <c r="C1502" s="26" t="s">
        <v>74</v>
      </c>
      <c r="D1502" s="26" t="s">
        <v>27</v>
      </c>
      <c r="E1502" s="26" t="n">
        <v>16</v>
      </c>
    </row>
    <row r="1503" customFormat="false" ht="15" hidden="false" customHeight="false" outlineLevel="0" collapsed="false">
      <c r="A1503" s="25" t="n">
        <v>46273</v>
      </c>
      <c r="B1503" s="26" t="s">
        <v>18</v>
      </c>
      <c r="C1503" s="26" t="s">
        <v>72</v>
      </c>
      <c r="D1503" s="26" t="s">
        <v>30</v>
      </c>
      <c r="E1503" s="26" t="n">
        <v>23</v>
      </c>
    </row>
    <row r="1504" customFormat="false" ht="15" hidden="false" customHeight="false" outlineLevel="0" collapsed="false">
      <c r="A1504" s="25" t="n">
        <v>46273</v>
      </c>
      <c r="B1504" s="26" t="s">
        <v>18</v>
      </c>
      <c r="C1504" s="26" t="s">
        <v>72</v>
      </c>
      <c r="D1504" s="26" t="s">
        <v>26</v>
      </c>
      <c r="E1504" s="26" t="n">
        <v>39</v>
      </c>
    </row>
    <row r="1505" customFormat="false" ht="15" hidden="false" customHeight="false" outlineLevel="0" collapsed="false">
      <c r="A1505" s="25" t="n">
        <v>46273</v>
      </c>
      <c r="B1505" s="26" t="s">
        <v>18</v>
      </c>
      <c r="C1505" s="26" t="s">
        <v>72</v>
      </c>
      <c r="D1505" s="26" t="s">
        <v>28</v>
      </c>
      <c r="E1505" s="26" t="n">
        <v>68</v>
      </c>
    </row>
    <row r="1506" customFormat="false" ht="15" hidden="false" customHeight="false" outlineLevel="0" collapsed="false">
      <c r="A1506" s="25" t="n">
        <v>46273</v>
      </c>
      <c r="B1506" s="26" t="s">
        <v>18</v>
      </c>
      <c r="C1506" s="26" t="s">
        <v>72</v>
      </c>
      <c r="D1506" s="26" t="s">
        <v>27</v>
      </c>
      <c r="E1506" s="26" t="n">
        <v>18</v>
      </c>
    </row>
    <row r="1507" customFormat="false" ht="15" hidden="false" customHeight="false" outlineLevel="0" collapsed="false">
      <c r="A1507" s="25" t="n">
        <v>46273</v>
      </c>
      <c r="B1507" s="26" t="s">
        <v>18</v>
      </c>
      <c r="C1507" s="26" t="s">
        <v>73</v>
      </c>
      <c r="D1507" s="26" t="s">
        <v>31</v>
      </c>
      <c r="E1507" s="26" t="n">
        <v>46</v>
      </c>
    </row>
    <row r="1508" customFormat="false" ht="15" hidden="false" customHeight="false" outlineLevel="0" collapsed="false">
      <c r="A1508" s="25" t="n">
        <v>46273</v>
      </c>
      <c r="B1508" s="26" t="s">
        <v>18</v>
      </c>
      <c r="C1508" s="26" t="s">
        <v>74</v>
      </c>
      <c r="D1508" s="26" t="s">
        <v>27</v>
      </c>
      <c r="E1508" s="26" t="n">
        <v>53</v>
      </c>
    </row>
    <row r="1509" customFormat="false" ht="15" hidden="false" customHeight="false" outlineLevel="0" collapsed="false">
      <c r="A1509" s="25" t="n">
        <v>46273</v>
      </c>
      <c r="B1509" s="26" t="s">
        <v>18</v>
      </c>
      <c r="C1509" s="26" t="s">
        <v>74</v>
      </c>
      <c r="D1509" s="26" t="s">
        <v>27</v>
      </c>
      <c r="E1509" s="26" t="n">
        <v>32</v>
      </c>
    </row>
    <row r="1510" customFormat="false" ht="15" hidden="false" customHeight="false" outlineLevel="0" collapsed="false">
      <c r="A1510" s="25" t="n">
        <v>46273</v>
      </c>
      <c r="B1510" s="26" t="s">
        <v>18</v>
      </c>
      <c r="C1510" s="26" t="s">
        <v>74</v>
      </c>
      <c r="D1510" s="26" t="s">
        <v>28</v>
      </c>
      <c r="E1510" s="26" t="n">
        <v>22</v>
      </c>
    </row>
    <row r="1511" customFormat="false" ht="15" hidden="false" customHeight="false" outlineLevel="0" collapsed="false">
      <c r="A1511" s="25" t="n">
        <v>46273</v>
      </c>
      <c r="B1511" s="26" t="s">
        <v>18</v>
      </c>
      <c r="C1511" s="26" t="s">
        <v>74</v>
      </c>
      <c r="D1511" s="26" t="s">
        <v>28</v>
      </c>
      <c r="E1511" s="26" t="n">
        <v>18</v>
      </c>
    </row>
    <row r="1512" customFormat="false" ht="15" hidden="false" customHeight="false" outlineLevel="0" collapsed="false">
      <c r="A1512" s="25" t="n">
        <v>46274</v>
      </c>
      <c r="B1512" s="26" t="s">
        <v>16</v>
      </c>
      <c r="C1512" s="26" t="s">
        <v>72</v>
      </c>
      <c r="D1512" s="26" t="s">
        <v>29</v>
      </c>
      <c r="E1512" s="26" t="n">
        <v>14</v>
      </c>
    </row>
    <row r="1513" customFormat="false" ht="15" hidden="false" customHeight="false" outlineLevel="0" collapsed="false">
      <c r="A1513" s="25" t="n">
        <v>46274</v>
      </c>
      <c r="B1513" s="26" t="s">
        <v>16</v>
      </c>
      <c r="C1513" s="26" t="s">
        <v>72</v>
      </c>
      <c r="D1513" s="26" t="s">
        <v>28</v>
      </c>
      <c r="E1513" s="26" t="n">
        <v>16</v>
      </c>
    </row>
    <row r="1514" customFormat="false" ht="15" hidden="false" customHeight="false" outlineLevel="0" collapsed="false">
      <c r="A1514" s="25" t="n">
        <v>46274</v>
      </c>
      <c r="B1514" s="26" t="s">
        <v>16</v>
      </c>
      <c r="C1514" s="26" t="s">
        <v>72</v>
      </c>
      <c r="D1514" s="26" t="s">
        <v>27</v>
      </c>
      <c r="E1514" s="26" t="n">
        <v>35</v>
      </c>
    </row>
    <row r="1515" customFormat="false" ht="15" hidden="false" customHeight="false" outlineLevel="0" collapsed="false">
      <c r="A1515" s="25" t="n">
        <v>46274</v>
      </c>
      <c r="B1515" s="26" t="s">
        <v>16</v>
      </c>
      <c r="C1515" s="26" t="s">
        <v>73</v>
      </c>
      <c r="D1515" s="26" t="s">
        <v>27</v>
      </c>
      <c r="E1515" s="26" t="n">
        <v>16</v>
      </c>
    </row>
    <row r="1516" customFormat="false" ht="15" hidden="false" customHeight="false" outlineLevel="0" collapsed="false">
      <c r="A1516" s="25" t="n">
        <v>46274</v>
      </c>
      <c r="B1516" s="26" t="s">
        <v>16</v>
      </c>
      <c r="C1516" s="26" t="s">
        <v>73</v>
      </c>
      <c r="D1516" s="26" t="s">
        <v>27</v>
      </c>
      <c r="E1516" s="26" t="n">
        <v>48</v>
      </c>
    </row>
    <row r="1517" customFormat="false" ht="15" hidden="false" customHeight="false" outlineLevel="0" collapsed="false">
      <c r="A1517" s="25" t="n">
        <v>46274</v>
      </c>
      <c r="B1517" s="26" t="s">
        <v>16</v>
      </c>
      <c r="C1517" s="26" t="s">
        <v>73</v>
      </c>
      <c r="D1517" s="26" t="s">
        <v>31</v>
      </c>
      <c r="E1517" s="26" t="n">
        <v>35</v>
      </c>
    </row>
    <row r="1518" customFormat="false" ht="15" hidden="false" customHeight="false" outlineLevel="0" collapsed="false">
      <c r="A1518" s="25" t="n">
        <v>46274</v>
      </c>
      <c r="B1518" s="26" t="s">
        <v>16</v>
      </c>
      <c r="C1518" s="26" t="s">
        <v>73</v>
      </c>
      <c r="D1518" s="26" t="s">
        <v>26</v>
      </c>
      <c r="E1518" s="26" t="n">
        <v>50</v>
      </c>
    </row>
    <row r="1519" customFormat="false" ht="15" hidden="false" customHeight="false" outlineLevel="0" collapsed="false">
      <c r="A1519" s="25" t="n">
        <v>46274</v>
      </c>
      <c r="B1519" s="26" t="s">
        <v>16</v>
      </c>
      <c r="C1519" s="26" t="s">
        <v>74</v>
      </c>
      <c r="D1519" s="26" t="s">
        <v>32</v>
      </c>
      <c r="E1519" s="26" t="n">
        <v>18</v>
      </c>
    </row>
    <row r="1520" customFormat="false" ht="15" hidden="false" customHeight="false" outlineLevel="0" collapsed="false">
      <c r="A1520" s="25" t="n">
        <v>46274</v>
      </c>
      <c r="B1520" s="26" t="s">
        <v>16</v>
      </c>
      <c r="C1520" s="26" t="s">
        <v>74</v>
      </c>
      <c r="D1520" s="26" t="s">
        <v>26</v>
      </c>
      <c r="E1520" s="26" t="n">
        <v>30</v>
      </c>
    </row>
    <row r="1521" customFormat="false" ht="15" hidden="false" customHeight="false" outlineLevel="0" collapsed="false">
      <c r="A1521" s="25" t="n">
        <v>46274</v>
      </c>
      <c r="B1521" s="26" t="s">
        <v>16</v>
      </c>
      <c r="C1521" s="26" t="s">
        <v>74</v>
      </c>
      <c r="D1521" s="26" t="s">
        <v>26</v>
      </c>
      <c r="E1521" s="26" t="n">
        <v>17</v>
      </c>
    </row>
    <row r="1522" customFormat="false" ht="15" hidden="false" customHeight="false" outlineLevel="0" collapsed="false">
      <c r="A1522" s="25" t="n">
        <v>46274</v>
      </c>
      <c r="B1522" s="26" t="s">
        <v>16</v>
      </c>
      <c r="C1522" s="26" t="s">
        <v>74</v>
      </c>
      <c r="D1522" s="26" t="s">
        <v>26</v>
      </c>
      <c r="E1522" s="26" t="n">
        <v>33</v>
      </c>
    </row>
    <row r="1523" customFormat="false" ht="15" hidden="false" customHeight="false" outlineLevel="0" collapsed="false">
      <c r="A1523" s="25" t="n">
        <v>46274</v>
      </c>
      <c r="B1523" s="26" t="s">
        <v>16</v>
      </c>
      <c r="C1523" s="26" t="s">
        <v>74</v>
      </c>
      <c r="D1523" s="26" t="s">
        <v>26</v>
      </c>
      <c r="E1523" s="26" t="n">
        <v>41</v>
      </c>
    </row>
    <row r="1524" customFormat="false" ht="15" hidden="false" customHeight="false" outlineLevel="0" collapsed="false">
      <c r="A1524" s="25" t="n">
        <v>46274</v>
      </c>
      <c r="B1524" s="26" t="s">
        <v>17</v>
      </c>
      <c r="C1524" s="26" t="s">
        <v>72</v>
      </c>
      <c r="D1524" s="26" t="s">
        <v>28</v>
      </c>
      <c r="E1524" s="26" t="n">
        <v>83</v>
      </c>
    </row>
    <row r="1525" customFormat="false" ht="15" hidden="false" customHeight="false" outlineLevel="0" collapsed="false">
      <c r="A1525" s="25" t="n">
        <v>46274</v>
      </c>
      <c r="B1525" s="26" t="s">
        <v>17</v>
      </c>
      <c r="C1525" s="26" t="s">
        <v>72</v>
      </c>
      <c r="D1525" s="26" t="s">
        <v>29</v>
      </c>
      <c r="E1525" s="26" t="n">
        <v>22</v>
      </c>
    </row>
    <row r="1526" customFormat="false" ht="15" hidden="false" customHeight="false" outlineLevel="0" collapsed="false">
      <c r="A1526" s="25" t="n">
        <v>46274</v>
      </c>
      <c r="B1526" s="26" t="s">
        <v>17</v>
      </c>
      <c r="C1526" s="26" t="s">
        <v>72</v>
      </c>
      <c r="D1526" s="26" t="s">
        <v>26</v>
      </c>
      <c r="E1526" s="26" t="n">
        <v>32</v>
      </c>
    </row>
    <row r="1527" customFormat="false" ht="15" hidden="false" customHeight="false" outlineLevel="0" collapsed="false">
      <c r="A1527" s="25" t="n">
        <v>46274</v>
      </c>
      <c r="B1527" s="26" t="s">
        <v>17</v>
      </c>
      <c r="C1527" s="26" t="s">
        <v>73</v>
      </c>
      <c r="D1527" s="26" t="s">
        <v>30</v>
      </c>
      <c r="E1527" s="26" t="n">
        <v>20</v>
      </c>
    </row>
    <row r="1528" customFormat="false" ht="15" hidden="false" customHeight="false" outlineLevel="0" collapsed="false">
      <c r="A1528" s="25" t="n">
        <v>46274</v>
      </c>
      <c r="B1528" s="26" t="s">
        <v>17</v>
      </c>
      <c r="C1528" s="26" t="s">
        <v>73</v>
      </c>
      <c r="D1528" s="26" t="s">
        <v>27</v>
      </c>
      <c r="E1528" s="26" t="n">
        <v>12</v>
      </c>
    </row>
    <row r="1529" customFormat="false" ht="15" hidden="false" customHeight="false" outlineLevel="0" collapsed="false">
      <c r="A1529" s="25" t="n">
        <v>46274</v>
      </c>
      <c r="B1529" s="26" t="s">
        <v>17</v>
      </c>
      <c r="C1529" s="26" t="s">
        <v>73</v>
      </c>
      <c r="D1529" s="26" t="s">
        <v>28</v>
      </c>
      <c r="E1529" s="26" t="n">
        <v>106</v>
      </c>
    </row>
    <row r="1530" customFormat="false" ht="15" hidden="false" customHeight="false" outlineLevel="0" collapsed="false">
      <c r="A1530" s="25" t="n">
        <v>46274</v>
      </c>
      <c r="B1530" s="26" t="s">
        <v>17</v>
      </c>
      <c r="C1530" s="26" t="s">
        <v>74</v>
      </c>
      <c r="D1530" s="26" t="s">
        <v>30</v>
      </c>
      <c r="E1530" s="26" t="n">
        <v>43</v>
      </c>
    </row>
    <row r="1531" customFormat="false" ht="15" hidden="false" customHeight="false" outlineLevel="0" collapsed="false">
      <c r="A1531" s="25" t="n">
        <v>46274</v>
      </c>
      <c r="B1531" s="26" t="s">
        <v>17</v>
      </c>
      <c r="C1531" s="26" t="s">
        <v>74</v>
      </c>
      <c r="D1531" s="26" t="s">
        <v>28</v>
      </c>
      <c r="E1531" s="26" t="n">
        <v>27</v>
      </c>
    </row>
    <row r="1532" customFormat="false" ht="15" hidden="false" customHeight="false" outlineLevel="0" collapsed="false">
      <c r="A1532" s="25" t="n">
        <v>46274</v>
      </c>
      <c r="B1532" s="26" t="s">
        <v>17</v>
      </c>
      <c r="C1532" s="26" t="s">
        <v>74</v>
      </c>
      <c r="D1532" s="26" t="s">
        <v>28</v>
      </c>
      <c r="E1532" s="26" t="n">
        <v>14</v>
      </c>
    </row>
    <row r="1533" customFormat="false" ht="15" hidden="false" customHeight="false" outlineLevel="0" collapsed="false">
      <c r="A1533" s="25" t="n">
        <v>46274</v>
      </c>
      <c r="B1533" s="26" t="s">
        <v>17</v>
      </c>
      <c r="C1533" s="26" t="s">
        <v>74</v>
      </c>
      <c r="D1533" s="26" t="s">
        <v>29</v>
      </c>
      <c r="E1533" s="26" t="n">
        <v>51</v>
      </c>
    </row>
    <row r="1534" customFormat="false" ht="15" hidden="false" customHeight="false" outlineLevel="0" collapsed="false">
      <c r="A1534" s="25" t="n">
        <v>46274</v>
      </c>
      <c r="B1534" s="26" t="s">
        <v>17</v>
      </c>
      <c r="C1534" s="26" t="s">
        <v>74</v>
      </c>
      <c r="D1534" s="26" t="s">
        <v>31</v>
      </c>
      <c r="E1534" s="26" t="n">
        <v>51</v>
      </c>
    </row>
    <row r="1535" customFormat="false" ht="15" hidden="false" customHeight="false" outlineLevel="0" collapsed="false">
      <c r="A1535" s="25" t="n">
        <v>46274</v>
      </c>
      <c r="B1535" s="26" t="s">
        <v>18</v>
      </c>
      <c r="C1535" s="26" t="s">
        <v>72</v>
      </c>
      <c r="D1535" s="26" t="s">
        <v>26</v>
      </c>
      <c r="E1535" s="26" t="n">
        <v>31</v>
      </c>
    </row>
    <row r="1536" customFormat="false" ht="15" hidden="false" customHeight="false" outlineLevel="0" collapsed="false">
      <c r="A1536" s="25" t="n">
        <v>46274</v>
      </c>
      <c r="B1536" s="26" t="s">
        <v>18</v>
      </c>
      <c r="C1536" s="26" t="s">
        <v>72</v>
      </c>
      <c r="D1536" s="26" t="s">
        <v>31</v>
      </c>
      <c r="E1536" s="26" t="n">
        <v>39</v>
      </c>
    </row>
    <row r="1537" customFormat="false" ht="15" hidden="false" customHeight="false" outlineLevel="0" collapsed="false">
      <c r="A1537" s="25" t="n">
        <v>46274</v>
      </c>
      <c r="B1537" s="26" t="s">
        <v>18</v>
      </c>
      <c r="C1537" s="26" t="s">
        <v>72</v>
      </c>
      <c r="D1537" s="26" t="s">
        <v>28</v>
      </c>
      <c r="E1537" s="26" t="n">
        <v>53</v>
      </c>
    </row>
    <row r="1538" customFormat="false" ht="15" hidden="false" customHeight="false" outlineLevel="0" collapsed="false">
      <c r="A1538" s="25" t="n">
        <v>46274</v>
      </c>
      <c r="B1538" s="26" t="s">
        <v>18</v>
      </c>
      <c r="C1538" s="26" t="s">
        <v>73</v>
      </c>
      <c r="D1538" s="26" t="s">
        <v>31</v>
      </c>
      <c r="E1538" s="26" t="n">
        <v>37</v>
      </c>
    </row>
    <row r="1539" customFormat="false" ht="15" hidden="false" customHeight="false" outlineLevel="0" collapsed="false">
      <c r="A1539" s="25" t="n">
        <v>46274</v>
      </c>
      <c r="B1539" s="26" t="s">
        <v>18</v>
      </c>
      <c r="C1539" s="26" t="s">
        <v>73</v>
      </c>
      <c r="D1539" s="26" t="s">
        <v>26</v>
      </c>
      <c r="E1539" s="26" t="n">
        <v>42</v>
      </c>
    </row>
    <row r="1540" customFormat="false" ht="15" hidden="false" customHeight="false" outlineLevel="0" collapsed="false">
      <c r="A1540" s="25" t="n">
        <v>46274</v>
      </c>
      <c r="B1540" s="26" t="s">
        <v>18</v>
      </c>
      <c r="C1540" s="26" t="s">
        <v>73</v>
      </c>
      <c r="D1540" s="26" t="s">
        <v>31</v>
      </c>
      <c r="E1540" s="26" t="n">
        <v>52</v>
      </c>
    </row>
    <row r="1541" customFormat="false" ht="15" hidden="false" customHeight="false" outlineLevel="0" collapsed="false">
      <c r="A1541" s="25" t="n">
        <v>46274</v>
      </c>
      <c r="B1541" s="26" t="s">
        <v>18</v>
      </c>
      <c r="C1541" s="26" t="s">
        <v>73</v>
      </c>
      <c r="D1541" s="26" t="s">
        <v>32</v>
      </c>
      <c r="E1541" s="26" t="n">
        <v>13</v>
      </c>
    </row>
    <row r="1542" customFormat="false" ht="15" hidden="false" customHeight="false" outlineLevel="0" collapsed="false">
      <c r="A1542" s="25" t="n">
        <v>46274</v>
      </c>
      <c r="B1542" s="26" t="s">
        <v>18</v>
      </c>
      <c r="C1542" s="26" t="s">
        <v>73</v>
      </c>
      <c r="D1542" s="26" t="s">
        <v>28</v>
      </c>
      <c r="E1542" s="26" t="n">
        <v>24</v>
      </c>
    </row>
    <row r="1543" customFormat="false" ht="15" hidden="false" customHeight="false" outlineLevel="0" collapsed="false">
      <c r="A1543" s="25" t="n">
        <v>46274</v>
      </c>
      <c r="B1543" s="26" t="s">
        <v>18</v>
      </c>
      <c r="C1543" s="26" t="s">
        <v>74</v>
      </c>
      <c r="D1543" s="26" t="s">
        <v>26</v>
      </c>
      <c r="E1543" s="26" t="n">
        <v>23</v>
      </c>
    </row>
    <row r="1544" customFormat="false" ht="15" hidden="false" customHeight="false" outlineLevel="0" collapsed="false">
      <c r="A1544" s="25" t="n">
        <v>46274</v>
      </c>
      <c r="B1544" s="26" t="s">
        <v>18</v>
      </c>
      <c r="C1544" s="26" t="s">
        <v>74</v>
      </c>
      <c r="D1544" s="26" t="s">
        <v>29</v>
      </c>
      <c r="E1544" s="26" t="n">
        <v>16</v>
      </c>
    </row>
    <row r="1545" customFormat="false" ht="15" hidden="false" customHeight="false" outlineLevel="0" collapsed="false">
      <c r="A1545" s="25" t="n">
        <v>46274</v>
      </c>
      <c r="B1545" s="26" t="s">
        <v>18</v>
      </c>
      <c r="C1545" s="26" t="s">
        <v>74</v>
      </c>
      <c r="D1545" s="26" t="s">
        <v>26</v>
      </c>
      <c r="E1545" s="26" t="n">
        <v>12</v>
      </c>
    </row>
    <row r="1546" customFormat="false" ht="15" hidden="false" customHeight="false" outlineLevel="0" collapsed="false">
      <c r="A1546" s="25" t="n">
        <v>46274</v>
      </c>
      <c r="B1546" s="26" t="s">
        <v>18</v>
      </c>
      <c r="C1546" s="26" t="s">
        <v>74</v>
      </c>
      <c r="D1546" s="26" t="s">
        <v>26</v>
      </c>
      <c r="E1546" s="26" t="n">
        <v>18</v>
      </c>
    </row>
    <row r="1547" customFormat="false" ht="15" hidden="false" customHeight="false" outlineLevel="0" collapsed="false">
      <c r="A1547" s="25" t="n">
        <v>46275</v>
      </c>
      <c r="B1547" s="26" t="s">
        <v>16</v>
      </c>
      <c r="C1547" s="26" t="s">
        <v>72</v>
      </c>
      <c r="D1547" s="26" t="s">
        <v>28</v>
      </c>
      <c r="E1547" s="26" t="n">
        <v>21</v>
      </c>
    </row>
    <row r="1548" customFormat="false" ht="15" hidden="false" customHeight="false" outlineLevel="0" collapsed="false">
      <c r="A1548" s="25" t="n">
        <v>46275</v>
      </c>
      <c r="B1548" s="26" t="s">
        <v>16</v>
      </c>
      <c r="C1548" s="26" t="s">
        <v>72</v>
      </c>
      <c r="D1548" s="26" t="s">
        <v>26</v>
      </c>
      <c r="E1548" s="26" t="n">
        <v>44</v>
      </c>
    </row>
    <row r="1549" customFormat="false" ht="15" hidden="false" customHeight="false" outlineLevel="0" collapsed="false">
      <c r="A1549" s="25" t="n">
        <v>46275</v>
      </c>
      <c r="B1549" s="26" t="s">
        <v>16</v>
      </c>
      <c r="C1549" s="26" t="s">
        <v>72</v>
      </c>
      <c r="D1549" s="26" t="s">
        <v>31</v>
      </c>
      <c r="E1549" s="26" t="n">
        <v>44</v>
      </c>
    </row>
    <row r="1550" customFormat="false" ht="15" hidden="false" customHeight="false" outlineLevel="0" collapsed="false">
      <c r="A1550" s="25" t="n">
        <v>46275</v>
      </c>
      <c r="B1550" s="26" t="s">
        <v>16</v>
      </c>
      <c r="C1550" s="26" t="s">
        <v>73</v>
      </c>
      <c r="D1550" s="26" t="s">
        <v>28</v>
      </c>
      <c r="E1550" s="26" t="n">
        <v>38</v>
      </c>
    </row>
    <row r="1551" customFormat="false" ht="15" hidden="false" customHeight="false" outlineLevel="0" collapsed="false">
      <c r="A1551" s="25" t="n">
        <v>46275</v>
      </c>
      <c r="B1551" s="26" t="s">
        <v>16</v>
      </c>
      <c r="C1551" s="26" t="s">
        <v>74</v>
      </c>
      <c r="D1551" s="26" t="s">
        <v>27</v>
      </c>
      <c r="E1551" s="26" t="n">
        <v>11</v>
      </c>
    </row>
    <row r="1552" customFormat="false" ht="15" hidden="false" customHeight="false" outlineLevel="0" collapsed="false">
      <c r="A1552" s="25" t="n">
        <v>46275</v>
      </c>
      <c r="B1552" s="26" t="s">
        <v>16</v>
      </c>
      <c r="C1552" s="26" t="s">
        <v>74</v>
      </c>
      <c r="D1552" s="26" t="s">
        <v>26</v>
      </c>
      <c r="E1552" s="26" t="n">
        <v>82</v>
      </c>
    </row>
    <row r="1553" customFormat="false" ht="15" hidden="false" customHeight="false" outlineLevel="0" collapsed="false">
      <c r="A1553" s="25" t="n">
        <v>46275</v>
      </c>
      <c r="B1553" s="26" t="s">
        <v>16</v>
      </c>
      <c r="C1553" s="26" t="s">
        <v>74</v>
      </c>
      <c r="D1553" s="26" t="s">
        <v>29</v>
      </c>
      <c r="E1553" s="26" t="n">
        <v>9</v>
      </c>
    </row>
    <row r="1554" customFormat="false" ht="15" hidden="false" customHeight="false" outlineLevel="0" collapsed="false">
      <c r="A1554" s="25" t="n">
        <v>46275</v>
      </c>
      <c r="B1554" s="26" t="s">
        <v>16</v>
      </c>
      <c r="C1554" s="26" t="s">
        <v>74</v>
      </c>
      <c r="D1554" s="26" t="s">
        <v>26</v>
      </c>
      <c r="E1554" s="26" t="n">
        <v>30</v>
      </c>
    </row>
    <row r="1555" customFormat="false" ht="15" hidden="false" customHeight="false" outlineLevel="0" collapsed="false">
      <c r="A1555" s="25" t="n">
        <v>46275</v>
      </c>
      <c r="B1555" s="26" t="s">
        <v>16</v>
      </c>
      <c r="C1555" s="26" t="s">
        <v>74</v>
      </c>
      <c r="D1555" s="26" t="s">
        <v>31</v>
      </c>
      <c r="E1555" s="26" t="n">
        <v>42</v>
      </c>
    </row>
    <row r="1556" customFormat="false" ht="15" hidden="false" customHeight="false" outlineLevel="0" collapsed="false">
      <c r="A1556" s="25" t="n">
        <v>46275</v>
      </c>
      <c r="B1556" s="26" t="s">
        <v>17</v>
      </c>
      <c r="C1556" s="26" t="s">
        <v>72</v>
      </c>
      <c r="D1556" s="26" t="s">
        <v>26</v>
      </c>
      <c r="E1556" s="26" t="n">
        <v>26</v>
      </c>
    </row>
    <row r="1557" customFormat="false" ht="15" hidden="false" customHeight="false" outlineLevel="0" collapsed="false">
      <c r="A1557" s="25" t="n">
        <v>46275</v>
      </c>
      <c r="B1557" s="26" t="s">
        <v>17</v>
      </c>
      <c r="C1557" s="26" t="s">
        <v>72</v>
      </c>
      <c r="D1557" s="26" t="s">
        <v>29</v>
      </c>
      <c r="E1557" s="26" t="n">
        <v>7</v>
      </c>
    </row>
    <row r="1558" customFormat="false" ht="15" hidden="false" customHeight="false" outlineLevel="0" collapsed="false">
      <c r="A1558" s="25" t="n">
        <v>46275</v>
      </c>
      <c r="B1558" s="26" t="s">
        <v>17</v>
      </c>
      <c r="C1558" s="26" t="s">
        <v>72</v>
      </c>
      <c r="D1558" s="26" t="s">
        <v>27</v>
      </c>
      <c r="E1558" s="26" t="n">
        <v>22</v>
      </c>
    </row>
    <row r="1559" customFormat="false" ht="15" hidden="false" customHeight="false" outlineLevel="0" collapsed="false">
      <c r="A1559" s="25" t="n">
        <v>46275</v>
      </c>
      <c r="B1559" s="26" t="s">
        <v>17</v>
      </c>
      <c r="C1559" s="26" t="s">
        <v>72</v>
      </c>
      <c r="D1559" s="26" t="s">
        <v>26</v>
      </c>
      <c r="E1559" s="26" t="n">
        <v>27</v>
      </c>
    </row>
    <row r="1560" customFormat="false" ht="15" hidden="false" customHeight="false" outlineLevel="0" collapsed="false">
      <c r="A1560" s="25" t="n">
        <v>46275</v>
      </c>
      <c r="B1560" s="26" t="s">
        <v>17</v>
      </c>
      <c r="C1560" s="26" t="s">
        <v>72</v>
      </c>
      <c r="D1560" s="26" t="s">
        <v>26</v>
      </c>
      <c r="E1560" s="26" t="n">
        <v>35</v>
      </c>
    </row>
    <row r="1561" customFormat="false" ht="15" hidden="false" customHeight="false" outlineLevel="0" collapsed="false">
      <c r="A1561" s="25" t="n">
        <v>46275</v>
      </c>
      <c r="B1561" s="26" t="s">
        <v>17</v>
      </c>
      <c r="C1561" s="26" t="s">
        <v>72</v>
      </c>
      <c r="D1561" s="26" t="s">
        <v>29</v>
      </c>
      <c r="E1561" s="26" t="n">
        <v>25</v>
      </c>
    </row>
    <row r="1562" customFormat="false" ht="15" hidden="false" customHeight="false" outlineLevel="0" collapsed="false">
      <c r="A1562" s="25" t="n">
        <v>46275</v>
      </c>
      <c r="B1562" s="26" t="s">
        <v>17</v>
      </c>
      <c r="C1562" s="26" t="s">
        <v>73</v>
      </c>
      <c r="D1562" s="26" t="s">
        <v>29</v>
      </c>
      <c r="E1562" s="26" t="n">
        <v>22</v>
      </c>
    </row>
    <row r="1563" customFormat="false" ht="15" hidden="false" customHeight="false" outlineLevel="0" collapsed="false">
      <c r="A1563" s="25" t="n">
        <v>46275</v>
      </c>
      <c r="B1563" s="26" t="s">
        <v>17</v>
      </c>
      <c r="C1563" s="26" t="s">
        <v>73</v>
      </c>
      <c r="D1563" s="26" t="s">
        <v>31</v>
      </c>
      <c r="E1563" s="26" t="n">
        <v>37</v>
      </c>
    </row>
    <row r="1564" customFormat="false" ht="15" hidden="false" customHeight="false" outlineLevel="0" collapsed="false">
      <c r="A1564" s="25" t="n">
        <v>46275</v>
      </c>
      <c r="B1564" s="26" t="s">
        <v>17</v>
      </c>
      <c r="C1564" s="26" t="s">
        <v>74</v>
      </c>
      <c r="D1564" s="26" t="s">
        <v>28</v>
      </c>
      <c r="E1564" s="26" t="n">
        <v>43</v>
      </c>
    </row>
    <row r="1565" customFormat="false" ht="15" hidden="false" customHeight="false" outlineLevel="0" collapsed="false">
      <c r="A1565" s="25" t="n">
        <v>46275</v>
      </c>
      <c r="B1565" s="26" t="s">
        <v>17</v>
      </c>
      <c r="C1565" s="26" t="s">
        <v>74</v>
      </c>
      <c r="D1565" s="26" t="s">
        <v>32</v>
      </c>
      <c r="E1565" s="26" t="n">
        <v>13</v>
      </c>
    </row>
    <row r="1566" customFormat="false" ht="15" hidden="false" customHeight="false" outlineLevel="0" collapsed="false">
      <c r="A1566" s="25" t="n">
        <v>46275</v>
      </c>
      <c r="B1566" s="26" t="s">
        <v>17</v>
      </c>
      <c r="C1566" s="26" t="s">
        <v>74</v>
      </c>
      <c r="D1566" s="26" t="s">
        <v>26</v>
      </c>
      <c r="E1566" s="26" t="n">
        <v>52</v>
      </c>
    </row>
    <row r="1567" customFormat="false" ht="15" hidden="false" customHeight="false" outlineLevel="0" collapsed="false">
      <c r="A1567" s="25" t="n">
        <v>46275</v>
      </c>
      <c r="B1567" s="26" t="s">
        <v>17</v>
      </c>
      <c r="C1567" s="26" t="s">
        <v>74</v>
      </c>
      <c r="D1567" s="26" t="s">
        <v>31</v>
      </c>
      <c r="E1567" s="26" t="n">
        <v>38</v>
      </c>
    </row>
    <row r="1568" customFormat="false" ht="15" hidden="false" customHeight="false" outlineLevel="0" collapsed="false">
      <c r="A1568" s="25" t="n">
        <v>46275</v>
      </c>
      <c r="B1568" s="26" t="s">
        <v>17</v>
      </c>
      <c r="C1568" s="26" t="s">
        <v>74</v>
      </c>
      <c r="D1568" s="26" t="s">
        <v>28</v>
      </c>
      <c r="E1568" s="26" t="n">
        <v>37</v>
      </c>
    </row>
    <row r="1569" customFormat="false" ht="15" hidden="false" customHeight="false" outlineLevel="0" collapsed="false">
      <c r="A1569" s="25" t="n">
        <v>46275</v>
      </c>
      <c r="B1569" s="26" t="s">
        <v>18</v>
      </c>
      <c r="C1569" s="26" t="s">
        <v>72</v>
      </c>
      <c r="D1569" s="26" t="s">
        <v>29</v>
      </c>
      <c r="E1569" s="26" t="n">
        <v>17</v>
      </c>
    </row>
    <row r="1570" customFormat="false" ht="15" hidden="false" customHeight="false" outlineLevel="0" collapsed="false">
      <c r="A1570" s="25" t="n">
        <v>46275</v>
      </c>
      <c r="B1570" s="26" t="s">
        <v>18</v>
      </c>
      <c r="C1570" s="26" t="s">
        <v>72</v>
      </c>
      <c r="D1570" s="26" t="s">
        <v>27</v>
      </c>
      <c r="E1570" s="26" t="n">
        <v>34</v>
      </c>
    </row>
    <row r="1571" customFormat="false" ht="15" hidden="false" customHeight="false" outlineLevel="0" collapsed="false">
      <c r="A1571" s="25" t="n">
        <v>46275</v>
      </c>
      <c r="B1571" s="26" t="s">
        <v>18</v>
      </c>
      <c r="C1571" s="26" t="s">
        <v>72</v>
      </c>
      <c r="D1571" s="26" t="s">
        <v>27</v>
      </c>
      <c r="E1571" s="26" t="n">
        <v>17</v>
      </c>
    </row>
    <row r="1572" customFormat="false" ht="15" hidden="false" customHeight="false" outlineLevel="0" collapsed="false">
      <c r="A1572" s="25" t="n">
        <v>46275</v>
      </c>
      <c r="B1572" s="26" t="s">
        <v>18</v>
      </c>
      <c r="C1572" s="26" t="s">
        <v>72</v>
      </c>
      <c r="D1572" s="26" t="s">
        <v>26</v>
      </c>
      <c r="E1572" s="26" t="n">
        <v>36</v>
      </c>
    </row>
    <row r="1573" customFormat="false" ht="15" hidden="false" customHeight="false" outlineLevel="0" collapsed="false">
      <c r="A1573" s="25" t="n">
        <v>46275</v>
      </c>
      <c r="B1573" s="26" t="s">
        <v>18</v>
      </c>
      <c r="C1573" s="26" t="s">
        <v>72</v>
      </c>
      <c r="D1573" s="26" t="s">
        <v>31</v>
      </c>
      <c r="E1573" s="26" t="n">
        <v>86</v>
      </c>
    </row>
    <row r="1574" customFormat="false" ht="15" hidden="false" customHeight="false" outlineLevel="0" collapsed="false">
      <c r="A1574" s="25" t="n">
        <v>46275</v>
      </c>
      <c r="B1574" s="26" t="s">
        <v>18</v>
      </c>
      <c r="C1574" s="26" t="s">
        <v>72</v>
      </c>
      <c r="D1574" s="26" t="s">
        <v>29</v>
      </c>
      <c r="E1574" s="26" t="n">
        <v>15</v>
      </c>
    </row>
    <row r="1575" customFormat="false" ht="15" hidden="false" customHeight="false" outlineLevel="0" collapsed="false">
      <c r="A1575" s="25" t="n">
        <v>46275</v>
      </c>
      <c r="B1575" s="26" t="s">
        <v>18</v>
      </c>
      <c r="C1575" s="26" t="s">
        <v>73</v>
      </c>
      <c r="D1575" s="26" t="s">
        <v>26</v>
      </c>
      <c r="E1575" s="26" t="n">
        <v>38</v>
      </c>
    </row>
    <row r="1576" customFormat="false" ht="15" hidden="false" customHeight="false" outlineLevel="0" collapsed="false">
      <c r="A1576" s="25" t="n">
        <v>46275</v>
      </c>
      <c r="B1576" s="26" t="s">
        <v>18</v>
      </c>
      <c r="C1576" s="26" t="s">
        <v>73</v>
      </c>
      <c r="D1576" s="26" t="s">
        <v>26</v>
      </c>
      <c r="E1576" s="26" t="n">
        <v>45</v>
      </c>
    </row>
    <row r="1577" customFormat="false" ht="15" hidden="false" customHeight="false" outlineLevel="0" collapsed="false">
      <c r="A1577" s="25" t="n">
        <v>46275</v>
      </c>
      <c r="B1577" s="26" t="s">
        <v>18</v>
      </c>
      <c r="C1577" s="26" t="s">
        <v>73</v>
      </c>
      <c r="D1577" s="26" t="s">
        <v>32</v>
      </c>
      <c r="E1577" s="26" t="n">
        <v>8</v>
      </c>
    </row>
    <row r="1578" customFormat="false" ht="15" hidden="false" customHeight="false" outlineLevel="0" collapsed="false">
      <c r="A1578" s="25" t="n">
        <v>46275</v>
      </c>
      <c r="B1578" s="26" t="s">
        <v>18</v>
      </c>
      <c r="C1578" s="26" t="s">
        <v>73</v>
      </c>
      <c r="D1578" s="26" t="s">
        <v>26</v>
      </c>
      <c r="E1578" s="26" t="n">
        <v>46</v>
      </c>
    </row>
    <row r="1579" customFormat="false" ht="15" hidden="false" customHeight="false" outlineLevel="0" collapsed="false">
      <c r="A1579" s="25" t="n">
        <v>46275</v>
      </c>
      <c r="B1579" s="26" t="s">
        <v>18</v>
      </c>
      <c r="C1579" s="26" t="s">
        <v>74</v>
      </c>
      <c r="D1579" s="26" t="s">
        <v>30</v>
      </c>
      <c r="E1579" s="26" t="n">
        <v>32</v>
      </c>
    </row>
    <row r="1580" customFormat="false" ht="15" hidden="false" customHeight="false" outlineLevel="0" collapsed="false">
      <c r="A1580" s="25" t="n">
        <v>46275</v>
      </c>
      <c r="B1580" s="26" t="s">
        <v>18</v>
      </c>
      <c r="C1580" s="26" t="s">
        <v>74</v>
      </c>
      <c r="D1580" s="26" t="s">
        <v>32</v>
      </c>
      <c r="E1580" s="26" t="n">
        <v>7</v>
      </c>
    </row>
    <row r="1581" customFormat="false" ht="15" hidden="false" customHeight="false" outlineLevel="0" collapsed="false">
      <c r="A1581" s="25" t="n">
        <v>46276</v>
      </c>
      <c r="B1581" s="26" t="s">
        <v>16</v>
      </c>
      <c r="C1581" s="26" t="s">
        <v>72</v>
      </c>
      <c r="D1581" s="26" t="s">
        <v>26</v>
      </c>
      <c r="E1581" s="26" t="n">
        <v>48</v>
      </c>
    </row>
    <row r="1582" customFormat="false" ht="15" hidden="false" customHeight="false" outlineLevel="0" collapsed="false">
      <c r="A1582" s="25" t="n">
        <v>46276</v>
      </c>
      <c r="B1582" s="26" t="s">
        <v>16</v>
      </c>
      <c r="C1582" s="26" t="s">
        <v>72</v>
      </c>
      <c r="D1582" s="26" t="s">
        <v>27</v>
      </c>
      <c r="E1582" s="26" t="n">
        <v>15</v>
      </c>
    </row>
    <row r="1583" customFormat="false" ht="15" hidden="false" customHeight="false" outlineLevel="0" collapsed="false">
      <c r="A1583" s="25" t="n">
        <v>46276</v>
      </c>
      <c r="B1583" s="26" t="s">
        <v>16</v>
      </c>
      <c r="C1583" s="26" t="s">
        <v>73</v>
      </c>
      <c r="D1583" s="26" t="s">
        <v>32</v>
      </c>
      <c r="E1583" s="26" t="n">
        <v>10</v>
      </c>
    </row>
    <row r="1584" customFormat="false" ht="15" hidden="false" customHeight="false" outlineLevel="0" collapsed="false">
      <c r="A1584" s="25" t="n">
        <v>46276</v>
      </c>
      <c r="B1584" s="26" t="s">
        <v>16</v>
      </c>
      <c r="C1584" s="26" t="s">
        <v>73</v>
      </c>
      <c r="D1584" s="26" t="s">
        <v>31</v>
      </c>
      <c r="E1584" s="26" t="n">
        <v>66</v>
      </c>
    </row>
    <row r="1585" customFormat="false" ht="15" hidden="false" customHeight="false" outlineLevel="0" collapsed="false">
      <c r="A1585" s="25" t="n">
        <v>46276</v>
      </c>
      <c r="B1585" s="26" t="s">
        <v>16</v>
      </c>
      <c r="C1585" s="26" t="s">
        <v>73</v>
      </c>
      <c r="D1585" s="26" t="s">
        <v>32</v>
      </c>
      <c r="E1585" s="26" t="n">
        <v>12</v>
      </c>
    </row>
    <row r="1586" customFormat="false" ht="15" hidden="false" customHeight="false" outlineLevel="0" collapsed="false">
      <c r="A1586" s="25" t="n">
        <v>46276</v>
      </c>
      <c r="B1586" s="26" t="s">
        <v>17</v>
      </c>
      <c r="C1586" s="26" t="s">
        <v>72</v>
      </c>
      <c r="D1586" s="26" t="s">
        <v>26</v>
      </c>
      <c r="E1586" s="26" t="n">
        <v>37</v>
      </c>
    </row>
    <row r="1587" customFormat="false" ht="15" hidden="false" customHeight="false" outlineLevel="0" collapsed="false">
      <c r="A1587" s="25" t="n">
        <v>46276</v>
      </c>
      <c r="B1587" s="26" t="s">
        <v>17</v>
      </c>
      <c r="C1587" s="26" t="s">
        <v>72</v>
      </c>
      <c r="D1587" s="26" t="s">
        <v>26</v>
      </c>
      <c r="E1587" s="26" t="n">
        <v>25</v>
      </c>
    </row>
    <row r="1588" customFormat="false" ht="15" hidden="false" customHeight="false" outlineLevel="0" collapsed="false">
      <c r="A1588" s="25" t="n">
        <v>46276</v>
      </c>
      <c r="B1588" s="26" t="s">
        <v>17</v>
      </c>
      <c r="C1588" s="26" t="s">
        <v>73</v>
      </c>
      <c r="D1588" s="26" t="s">
        <v>26</v>
      </c>
      <c r="E1588" s="26" t="n">
        <v>38</v>
      </c>
    </row>
    <row r="1589" customFormat="false" ht="15" hidden="false" customHeight="false" outlineLevel="0" collapsed="false">
      <c r="A1589" s="25" t="n">
        <v>46276</v>
      </c>
      <c r="B1589" s="26" t="s">
        <v>17</v>
      </c>
      <c r="C1589" s="26" t="s">
        <v>73</v>
      </c>
      <c r="D1589" s="26" t="s">
        <v>31</v>
      </c>
      <c r="E1589" s="26" t="n">
        <v>23</v>
      </c>
    </row>
    <row r="1590" customFormat="false" ht="15" hidden="false" customHeight="false" outlineLevel="0" collapsed="false">
      <c r="A1590" s="25" t="n">
        <v>46276</v>
      </c>
      <c r="B1590" s="26" t="s">
        <v>17</v>
      </c>
      <c r="C1590" s="26" t="s">
        <v>73</v>
      </c>
      <c r="D1590" s="26" t="s">
        <v>29</v>
      </c>
      <c r="E1590" s="26" t="n">
        <v>16</v>
      </c>
    </row>
    <row r="1591" customFormat="false" ht="15" hidden="false" customHeight="false" outlineLevel="0" collapsed="false">
      <c r="A1591" s="25" t="n">
        <v>46276</v>
      </c>
      <c r="B1591" s="26" t="s">
        <v>17</v>
      </c>
      <c r="C1591" s="26" t="s">
        <v>74</v>
      </c>
      <c r="D1591" s="26" t="s">
        <v>32</v>
      </c>
      <c r="E1591" s="26" t="n">
        <v>6</v>
      </c>
    </row>
    <row r="1592" customFormat="false" ht="15" hidden="false" customHeight="false" outlineLevel="0" collapsed="false">
      <c r="A1592" s="25" t="n">
        <v>46276</v>
      </c>
      <c r="B1592" s="26" t="s">
        <v>17</v>
      </c>
      <c r="C1592" s="26" t="s">
        <v>74</v>
      </c>
      <c r="D1592" s="26" t="s">
        <v>26</v>
      </c>
      <c r="E1592" s="26" t="n">
        <v>30</v>
      </c>
    </row>
    <row r="1593" customFormat="false" ht="15" hidden="false" customHeight="false" outlineLevel="0" collapsed="false">
      <c r="A1593" s="25" t="n">
        <v>46276</v>
      </c>
      <c r="B1593" s="26" t="s">
        <v>17</v>
      </c>
      <c r="C1593" s="26" t="s">
        <v>74</v>
      </c>
      <c r="D1593" s="26" t="s">
        <v>26</v>
      </c>
      <c r="E1593" s="26" t="n">
        <v>30</v>
      </c>
    </row>
    <row r="1594" customFormat="false" ht="15" hidden="false" customHeight="false" outlineLevel="0" collapsed="false">
      <c r="A1594" s="25" t="n">
        <v>46276</v>
      </c>
      <c r="B1594" s="26" t="s">
        <v>18</v>
      </c>
      <c r="C1594" s="26" t="s">
        <v>72</v>
      </c>
      <c r="D1594" s="26" t="s">
        <v>26</v>
      </c>
      <c r="E1594" s="26" t="n">
        <v>47</v>
      </c>
    </row>
    <row r="1595" customFormat="false" ht="15" hidden="false" customHeight="false" outlineLevel="0" collapsed="false">
      <c r="A1595" s="25" t="n">
        <v>46276</v>
      </c>
      <c r="B1595" s="26" t="s">
        <v>18</v>
      </c>
      <c r="C1595" s="26" t="s">
        <v>72</v>
      </c>
      <c r="D1595" s="26" t="s">
        <v>28</v>
      </c>
      <c r="E1595" s="26" t="n">
        <v>26</v>
      </c>
    </row>
    <row r="1596" customFormat="false" ht="15" hidden="false" customHeight="false" outlineLevel="0" collapsed="false">
      <c r="A1596" s="25" t="n">
        <v>46276</v>
      </c>
      <c r="B1596" s="26" t="s">
        <v>18</v>
      </c>
      <c r="C1596" s="26" t="s">
        <v>74</v>
      </c>
      <c r="D1596" s="26" t="s">
        <v>26</v>
      </c>
      <c r="E1596" s="26" t="n">
        <v>16</v>
      </c>
    </row>
    <row r="1597" customFormat="false" ht="15" hidden="false" customHeight="false" outlineLevel="0" collapsed="false">
      <c r="A1597" s="25" t="n">
        <v>46276</v>
      </c>
      <c r="B1597" s="26" t="s">
        <v>18</v>
      </c>
      <c r="C1597" s="26" t="s">
        <v>74</v>
      </c>
      <c r="D1597" s="26" t="s">
        <v>29</v>
      </c>
      <c r="E1597" s="26" t="n">
        <v>17</v>
      </c>
    </row>
    <row r="1598" customFormat="false" ht="15" hidden="false" customHeight="false" outlineLevel="0" collapsed="false">
      <c r="A1598" s="25" t="n">
        <v>46277</v>
      </c>
      <c r="B1598" s="26" t="s">
        <v>16</v>
      </c>
      <c r="C1598" s="26" t="s">
        <v>72</v>
      </c>
      <c r="D1598" s="26" t="s">
        <v>31</v>
      </c>
      <c r="E1598" s="26" t="n">
        <v>48</v>
      </c>
    </row>
    <row r="1599" customFormat="false" ht="15" hidden="false" customHeight="false" outlineLevel="0" collapsed="false">
      <c r="A1599" s="25" t="n">
        <v>46277</v>
      </c>
      <c r="B1599" s="26" t="s">
        <v>16</v>
      </c>
      <c r="C1599" s="26" t="s">
        <v>72</v>
      </c>
      <c r="D1599" s="26" t="s">
        <v>27</v>
      </c>
      <c r="E1599" s="26" t="n">
        <v>17</v>
      </c>
    </row>
    <row r="1600" customFormat="false" ht="15" hidden="false" customHeight="false" outlineLevel="0" collapsed="false">
      <c r="A1600" s="25" t="n">
        <v>46277</v>
      </c>
      <c r="B1600" s="26" t="s">
        <v>16</v>
      </c>
      <c r="C1600" s="26" t="s">
        <v>73</v>
      </c>
      <c r="D1600" s="26" t="s">
        <v>30</v>
      </c>
      <c r="E1600" s="26" t="n">
        <v>25</v>
      </c>
    </row>
    <row r="1601" customFormat="false" ht="15" hidden="false" customHeight="false" outlineLevel="0" collapsed="false">
      <c r="A1601" s="25" t="n">
        <v>46277</v>
      </c>
      <c r="B1601" s="26" t="s">
        <v>16</v>
      </c>
      <c r="C1601" s="26" t="s">
        <v>74</v>
      </c>
      <c r="D1601" s="26" t="s">
        <v>30</v>
      </c>
      <c r="E1601" s="26" t="n">
        <v>19</v>
      </c>
    </row>
    <row r="1602" customFormat="false" ht="15" hidden="false" customHeight="false" outlineLevel="0" collapsed="false">
      <c r="A1602" s="25" t="n">
        <v>46277</v>
      </c>
      <c r="B1602" s="26" t="s">
        <v>16</v>
      </c>
      <c r="C1602" s="26" t="s">
        <v>74</v>
      </c>
      <c r="D1602" s="26" t="s">
        <v>28</v>
      </c>
      <c r="E1602" s="26" t="n">
        <v>30</v>
      </c>
    </row>
    <row r="1603" customFormat="false" ht="15" hidden="false" customHeight="false" outlineLevel="0" collapsed="false">
      <c r="A1603" s="25" t="n">
        <v>46277</v>
      </c>
      <c r="B1603" s="26" t="s">
        <v>17</v>
      </c>
      <c r="C1603" s="26" t="s">
        <v>72</v>
      </c>
      <c r="D1603" s="26" t="s">
        <v>27</v>
      </c>
      <c r="E1603" s="26" t="n">
        <v>30</v>
      </c>
    </row>
    <row r="1604" customFormat="false" ht="15" hidden="false" customHeight="false" outlineLevel="0" collapsed="false">
      <c r="A1604" s="25" t="n">
        <v>46277</v>
      </c>
      <c r="B1604" s="26" t="s">
        <v>17</v>
      </c>
      <c r="C1604" s="26" t="s">
        <v>72</v>
      </c>
      <c r="D1604" s="26" t="s">
        <v>28</v>
      </c>
      <c r="E1604" s="26" t="n">
        <v>28</v>
      </c>
    </row>
    <row r="1605" customFormat="false" ht="15" hidden="false" customHeight="false" outlineLevel="0" collapsed="false">
      <c r="A1605" s="25" t="n">
        <v>46277</v>
      </c>
      <c r="B1605" s="26" t="s">
        <v>17</v>
      </c>
      <c r="C1605" s="26" t="s">
        <v>72</v>
      </c>
      <c r="D1605" s="26" t="s">
        <v>26</v>
      </c>
      <c r="E1605" s="26" t="n">
        <v>43</v>
      </c>
    </row>
    <row r="1606" customFormat="false" ht="15" hidden="false" customHeight="false" outlineLevel="0" collapsed="false">
      <c r="A1606" s="25" t="n">
        <v>46277</v>
      </c>
      <c r="B1606" s="26" t="s">
        <v>17</v>
      </c>
      <c r="C1606" s="26" t="s">
        <v>72</v>
      </c>
      <c r="D1606" s="26" t="s">
        <v>28</v>
      </c>
      <c r="E1606" s="26" t="n">
        <v>18</v>
      </c>
    </row>
    <row r="1607" customFormat="false" ht="15" hidden="false" customHeight="false" outlineLevel="0" collapsed="false">
      <c r="A1607" s="25" t="n">
        <v>46277</v>
      </c>
      <c r="B1607" s="26" t="s">
        <v>17</v>
      </c>
      <c r="C1607" s="26" t="s">
        <v>73</v>
      </c>
      <c r="D1607" s="26" t="s">
        <v>26</v>
      </c>
      <c r="E1607" s="26" t="n">
        <v>34</v>
      </c>
    </row>
    <row r="1608" customFormat="false" ht="15" hidden="false" customHeight="false" outlineLevel="0" collapsed="false">
      <c r="A1608" s="25" t="n">
        <v>46277</v>
      </c>
      <c r="B1608" s="26" t="s">
        <v>17</v>
      </c>
      <c r="C1608" s="26" t="s">
        <v>73</v>
      </c>
      <c r="D1608" s="26" t="s">
        <v>26</v>
      </c>
      <c r="E1608" s="26" t="n">
        <v>48</v>
      </c>
    </row>
    <row r="1609" customFormat="false" ht="15" hidden="false" customHeight="false" outlineLevel="0" collapsed="false">
      <c r="A1609" s="25" t="n">
        <v>46277</v>
      </c>
      <c r="B1609" s="26" t="s">
        <v>17</v>
      </c>
      <c r="C1609" s="26" t="s">
        <v>73</v>
      </c>
      <c r="D1609" s="26" t="s">
        <v>27</v>
      </c>
      <c r="E1609" s="26" t="n">
        <v>11</v>
      </c>
    </row>
    <row r="1610" customFormat="false" ht="15" hidden="false" customHeight="false" outlineLevel="0" collapsed="false">
      <c r="A1610" s="25" t="n">
        <v>46277</v>
      </c>
      <c r="B1610" s="26" t="s">
        <v>17</v>
      </c>
      <c r="C1610" s="26" t="s">
        <v>74</v>
      </c>
      <c r="D1610" s="26" t="s">
        <v>26</v>
      </c>
      <c r="E1610" s="26" t="n">
        <v>49</v>
      </c>
    </row>
    <row r="1611" customFormat="false" ht="15" hidden="false" customHeight="false" outlineLevel="0" collapsed="false">
      <c r="A1611" s="25" t="n">
        <v>46277</v>
      </c>
      <c r="B1611" s="26" t="s">
        <v>17</v>
      </c>
      <c r="C1611" s="26" t="s">
        <v>74</v>
      </c>
      <c r="D1611" s="26" t="s">
        <v>30</v>
      </c>
      <c r="E1611" s="26" t="n">
        <v>17</v>
      </c>
    </row>
    <row r="1612" customFormat="false" ht="15" hidden="false" customHeight="false" outlineLevel="0" collapsed="false">
      <c r="A1612" s="25" t="n">
        <v>46277</v>
      </c>
      <c r="B1612" s="26" t="s">
        <v>17</v>
      </c>
      <c r="C1612" s="26" t="s">
        <v>74</v>
      </c>
      <c r="D1612" s="26" t="s">
        <v>26</v>
      </c>
      <c r="E1612" s="26" t="n">
        <v>30</v>
      </c>
    </row>
    <row r="1613" customFormat="false" ht="15" hidden="false" customHeight="false" outlineLevel="0" collapsed="false">
      <c r="A1613" s="25" t="n">
        <v>46277</v>
      </c>
      <c r="B1613" s="26" t="s">
        <v>17</v>
      </c>
      <c r="C1613" s="26" t="s">
        <v>74</v>
      </c>
      <c r="D1613" s="26" t="s">
        <v>26</v>
      </c>
      <c r="E1613" s="26" t="n">
        <v>35</v>
      </c>
    </row>
    <row r="1614" customFormat="false" ht="15" hidden="false" customHeight="false" outlineLevel="0" collapsed="false">
      <c r="A1614" s="25" t="n">
        <v>46277</v>
      </c>
      <c r="B1614" s="26" t="s">
        <v>18</v>
      </c>
      <c r="C1614" s="26" t="s">
        <v>72</v>
      </c>
      <c r="D1614" s="26" t="s">
        <v>29</v>
      </c>
      <c r="E1614" s="26" t="n">
        <v>11</v>
      </c>
    </row>
    <row r="1615" customFormat="false" ht="15" hidden="false" customHeight="false" outlineLevel="0" collapsed="false">
      <c r="A1615" s="25" t="n">
        <v>46277</v>
      </c>
      <c r="B1615" s="26" t="s">
        <v>18</v>
      </c>
      <c r="C1615" s="26" t="s">
        <v>72</v>
      </c>
      <c r="D1615" s="26" t="s">
        <v>31</v>
      </c>
      <c r="E1615" s="26" t="n">
        <v>48</v>
      </c>
    </row>
    <row r="1616" customFormat="false" ht="15" hidden="false" customHeight="false" outlineLevel="0" collapsed="false">
      <c r="A1616" s="25" t="n">
        <v>46277</v>
      </c>
      <c r="B1616" s="26" t="s">
        <v>18</v>
      </c>
      <c r="C1616" s="26" t="s">
        <v>72</v>
      </c>
      <c r="D1616" s="26" t="s">
        <v>28</v>
      </c>
      <c r="E1616" s="26" t="n">
        <v>118</v>
      </c>
    </row>
    <row r="1617" customFormat="false" ht="15" hidden="false" customHeight="false" outlineLevel="0" collapsed="false">
      <c r="A1617" s="25" t="n">
        <v>46277</v>
      </c>
      <c r="B1617" s="26" t="s">
        <v>18</v>
      </c>
      <c r="C1617" s="26" t="s">
        <v>72</v>
      </c>
      <c r="D1617" s="26" t="s">
        <v>28</v>
      </c>
      <c r="E1617" s="26" t="n">
        <v>21</v>
      </c>
    </row>
    <row r="1618" customFormat="false" ht="15" hidden="false" customHeight="false" outlineLevel="0" collapsed="false">
      <c r="A1618" s="25" t="n">
        <v>46277</v>
      </c>
      <c r="B1618" s="26" t="s">
        <v>18</v>
      </c>
      <c r="C1618" s="26" t="s">
        <v>72</v>
      </c>
      <c r="D1618" s="26" t="s">
        <v>29</v>
      </c>
      <c r="E1618" s="26" t="n">
        <v>20</v>
      </c>
    </row>
    <row r="1619" customFormat="false" ht="15" hidden="false" customHeight="false" outlineLevel="0" collapsed="false">
      <c r="A1619" s="25" t="n">
        <v>46277</v>
      </c>
      <c r="B1619" s="26" t="s">
        <v>18</v>
      </c>
      <c r="C1619" s="26" t="s">
        <v>73</v>
      </c>
      <c r="D1619" s="26" t="s">
        <v>26</v>
      </c>
      <c r="E1619" s="26" t="n">
        <v>71</v>
      </c>
    </row>
    <row r="1620" customFormat="false" ht="15" hidden="false" customHeight="false" outlineLevel="0" collapsed="false">
      <c r="A1620" s="25" t="n">
        <v>46277</v>
      </c>
      <c r="B1620" s="26" t="s">
        <v>18</v>
      </c>
      <c r="C1620" s="26" t="s">
        <v>73</v>
      </c>
      <c r="D1620" s="26" t="s">
        <v>27</v>
      </c>
      <c r="E1620" s="26" t="n">
        <v>25</v>
      </c>
    </row>
    <row r="1621" customFormat="false" ht="15" hidden="false" customHeight="false" outlineLevel="0" collapsed="false">
      <c r="A1621" s="25" t="n">
        <v>46277</v>
      </c>
      <c r="B1621" s="26" t="s">
        <v>18</v>
      </c>
      <c r="C1621" s="26" t="s">
        <v>73</v>
      </c>
      <c r="D1621" s="26" t="s">
        <v>28</v>
      </c>
      <c r="E1621" s="26" t="n">
        <v>52</v>
      </c>
    </row>
    <row r="1622" customFormat="false" ht="15" hidden="false" customHeight="false" outlineLevel="0" collapsed="false">
      <c r="A1622" s="25" t="n">
        <v>46277</v>
      </c>
      <c r="B1622" s="26" t="s">
        <v>18</v>
      </c>
      <c r="C1622" s="26" t="s">
        <v>73</v>
      </c>
      <c r="D1622" s="26" t="s">
        <v>26</v>
      </c>
      <c r="E1622" s="26" t="n">
        <v>23</v>
      </c>
    </row>
    <row r="1623" customFormat="false" ht="15" hidden="false" customHeight="false" outlineLevel="0" collapsed="false">
      <c r="A1623" s="25" t="n">
        <v>46277</v>
      </c>
      <c r="B1623" s="26" t="s">
        <v>18</v>
      </c>
      <c r="C1623" s="26" t="s">
        <v>74</v>
      </c>
      <c r="D1623" s="26" t="s">
        <v>26</v>
      </c>
      <c r="E1623" s="26" t="n">
        <v>29</v>
      </c>
    </row>
    <row r="1624" customFormat="false" ht="15" hidden="false" customHeight="false" outlineLevel="0" collapsed="false">
      <c r="A1624" s="25" t="n">
        <v>46278</v>
      </c>
      <c r="B1624" s="26" t="s">
        <v>16</v>
      </c>
      <c r="C1624" s="26" t="s">
        <v>72</v>
      </c>
      <c r="D1624" s="26" t="s">
        <v>28</v>
      </c>
      <c r="E1624" s="26" t="n">
        <v>11</v>
      </c>
    </row>
    <row r="1625" customFormat="false" ht="15" hidden="false" customHeight="false" outlineLevel="0" collapsed="false">
      <c r="A1625" s="25" t="n">
        <v>46278</v>
      </c>
      <c r="B1625" s="26" t="s">
        <v>16</v>
      </c>
      <c r="C1625" s="26" t="s">
        <v>73</v>
      </c>
      <c r="D1625" s="26" t="s">
        <v>26</v>
      </c>
      <c r="E1625" s="26" t="n">
        <v>24</v>
      </c>
    </row>
    <row r="1626" customFormat="false" ht="15" hidden="false" customHeight="false" outlineLevel="0" collapsed="false">
      <c r="A1626" s="25" t="n">
        <v>46278</v>
      </c>
      <c r="B1626" s="26" t="s">
        <v>16</v>
      </c>
      <c r="C1626" s="26" t="s">
        <v>73</v>
      </c>
      <c r="D1626" s="26" t="s">
        <v>27</v>
      </c>
      <c r="E1626" s="26" t="n">
        <v>18</v>
      </c>
    </row>
    <row r="1627" customFormat="false" ht="15" hidden="false" customHeight="false" outlineLevel="0" collapsed="false">
      <c r="A1627" s="25" t="n">
        <v>46278</v>
      </c>
      <c r="B1627" s="26" t="s">
        <v>16</v>
      </c>
      <c r="C1627" s="26" t="s">
        <v>73</v>
      </c>
      <c r="D1627" s="26" t="s">
        <v>27</v>
      </c>
      <c r="E1627" s="26" t="n">
        <v>11</v>
      </c>
    </row>
    <row r="1628" customFormat="false" ht="15" hidden="false" customHeight="false" outlineLevel="0" collapsed="false">
      <c r="A1628" s="25" t="n">
        <v>46278</v>
      </c>
      <c r="B1628" s="26" t="s">
        <v>17</v>
      </c>
      <c r="C1628" s="26" t="s">
        <v>72</v>
      </c>
      <c r="D1628" s="26" t="s">
        <v>27</v>
      </c>
      <c r="E1628" s="26" t="n">
        <v>37</v>
      </c>
    </row>
    <row r="1629" customFormat="false" ht="15" hidden="false" customHeight="false" outlineLevel="0" collapsed="false">
      <c r="A1629" s="25" t="n">
        <v>46278</v>
      </c>
      <c r="B1629" s="26" t="s">
        <v>17</v>
      </c>
      <c r="C1629" s="26" t="s">
        <v>72</v>
      </c>
      <c r="D1629" s="26" t="s">
        <v>31</v>
      </c>
      <c r="E1629" s="26" t="n">
        <v>43</v>
      </c>
    </row>
    <row r="1630" customFormat="false" ht="15" hidden="false" customHeight="false" outlineLevel="0" collapsed="false">
      <c r="A1630" s="25" t="n">
        <v>46278</v>
      </c>
      <c r="B1630" s="26" t="s">
        <v>17</v>
      </c>
      <c r="C1630" s="26" t="s">
        <v>72</v>
      </c>
      <c r="D1630" s="26" t="s">
        <v>26</v>
      </c>
      <c r="E1630" s="26" t="n">
        <v>37</v>
      </c>
    </row>
    <row r="1631" customFormat="false" ht="15" hidden="false" customHeight="false" outlineLevel="0" collapsed="false">
      <c r="A1631" s="25" t="n">
        <v>46278</v>
      </c>
      <c r="B1631" s="26" t="s">
        <v>17</v>
      </c>
      <c r="C1631" s="26" t="s">
        <v>72</v>
      </c>
      <c r="D1631" s="26" t="s">
        <v>27</v>
      </c>
      <c r="E1631" s="26" t="n">
        <v>15</v>
      </c>
    </row>
    <row r="1632" customFormat="false" ht="15" hidden="false" customHeight="false" outlineLevel="0" collapsed="false">
      <c r="A1632" s="25" t="n">
        <v>46278</v>
      </c>
      <c r="B1632" s="26" t="s">
        <v>17</v>
      </c>
      <c r="C1632" s="26" t="s">
        <v>72</v>
      </c>
      <c r="D1632" s="26" t="s">
        <v>31</v>
      </c>
      <c r="E1632" s="26" t="n">
        <v>49</v>
      </c>
    </row>
    <row r="1633" customFormat="false" ht="15" hidden="false" customHeight="false" outlineLevel="0" collapsed="false">
      <c r="A1633" s="25" t="n">
        <v>46278</v>
      </c>
      <c r="B1633" s="26" t="s">
        <v>17</v>
      </c>
      <c r="C1633" s="26" t="s">
        <v>73</v>
      </c>
      <c r="D1633" s="26" t="s">
        <v>27</v>
      </c>
      <c r="E1633" s="26" t="n">
        <v>13</v>
      </c>
    </row>
    <row r="1634" customFormat="false" ht="15" hidden="false" customHeight="false" outlineLevel="0" collapsed="false">
      <c r="A1634" s="25" t="n">
        <v>46278</v>
      </c>
      <c r="B1634" s="26" t="s">
        <v>17</v>
      </c>
      <c r="C1634" s="26" t="s">
        <v>73</v>
      </c>
      <c r="D1634" s="26" t="s">
        <v>28</v>
      </c>
      <c r="E1634" s="26" t="n">
        <v>31</v>
      </c>
    </row>
    <row r="1635" customFormat="false" ht="15" hidden="false" customHeight="false" outlineLevel="0" collapsed="false">
      <c r="A1635" s="25" t="n">
        <v>46278</v>
      </c>
      <c r="B1635" s="26" t="s">
        <v>17</v>
      </c>
      <c r="C1635" s="26" t="s">
        <v>73</v>
      </c>
      <c r="D1635" s="26" t="s">
        <v>32</v>
      </c>
      <c r="E1635" s="26" t="n">
        <v>9</v>
      </c>
    </row>
    <row r="1636" customFormat="false" ht="15" hidden="false" customHeight="false" outlineLevel="0" collapsed="false">
      <c r="A1636" s="25" t="n">
        <v>46278</v>
      </c>
      <c r="B1636" s="26" t="s">
        <v>17</v>
      </c>
      <c r="C1636" s="26" t="s">
        <v>74</v>
      </c>
      <c r="D1636" s="26" t="s">
        <v>26</v>
      </c>
      <c r="E1636" s="26" t="n">
        <v>42</v>
      </c>
    </row>
    <row r="1637" customFormat="false" ht="15" hidden="false" customHeight="false" outlineLevel="0" collapsed="false">
      <c r="A1637" s="25" t="n">
        <v>46278</v>
      </c>
      <c r="B1637" s="26" t="s">
        <v>17</v>
      </c>
      <c r="C1637" s="26" t="s">
        <v>74</v>
      </c>
      <c r="D1637" s="26" t="s">
        <v>26</v>
      </c>
      <c r="E1637" s="26" t="n">
        <v>59</v>
      </c>
    </row>
    <row r="1638" customFormat="false" ht="15" hidden="false" customHeight="false" outlineLevel="0" collapsed="false">
      <c r="A1638" s="25" t="n">
        <v>46278</v>
      </c>
      <c r="B1638" s="26" t="s">
        <v>17</v>
      </c>
      <c r="C1638" s="26" t="s">
        <v>74</v>
      </c>
      <c r="D1638" s="26" t="s">
        <v>26</v>
      </c>
      <c r="E1638" s="26" t="n">
        <v>23</v>
      </c>
    </row>
    <row r="1639" customFormat="false" ht="15" hidden="false" customHeight="false" outlineLevel="0" collapsed="false">
      <c r="A1639" s="25" t="n">
        <v>46278</v>
      </c>
      <c r="B1639" s="26" t="s">
        <v>18</v>
      </c>
      <c r="C1639" s="26" t="s">
        <v>72</v>
      </c>
      <c r="D1639" s="26" t="s">
        <v>30</v>
      </c>
      <c r="E1639" s="26" t="n">
        <v>43</v>
      </c>
    </row>
    <row r="1640" customFormat="false" ht="15" hidden="false" customHeight="false" outlineLevel="0" collapsed="false">
      <c r="A1640" s="25" t="n">
        <v>46278</v>
      </c>
      <c r="B1640" s="26" t="s">
        <v>18</v>
      </c>
      <c r="C1640" s="26" t="s">
        <v>72</v>
      </c>
      <c r="D1640" s="26" t="s">
        <v>29</v>
      </c>
      <c r="E1640" s="26" t="n">
        <v>16</v>
      </c>
    </row>
    <row r="1641" customFormat="false" ht="15" hidden="false" customHeight="false" outlineLevel="0" collapsed="false">
      <c r="A1641" s="25" t="n">
        <v>46278</v>
      </c>
      <c r="B1641" s="26" t="s">
        <v>18</v>
      </c>
      <c r="C1641" s="26" t="s">
        <v>73</v>
      </c>
      <c r="D1641" s="26" t="s">
        <v>30</v>
      </c>
      <c r="E1641" s="26" t="n">
        <v>29</v>
      </c>
    </row>
    <row r="1642" customFormat="false" ht="15" hidden="false" customHeight="false" outlineLevel="0" collapsed="false">
      <c r="A1642" s="25" t="n">
        <v>46278</v>
      </c>
      <c r="B1642" s="26" t="s">
        <v>18</v>
      </c>
      <c r="C1642" s="26" t="s">
        <v>73</v>
      </c>
      <c r="D1642" s="26" t="s">
        <v>30</v>
      </c>
      <c r="E1642" s="26" t="n">
        <v>38</v>
      </c>
    </row>
    <row r="1643" customFormat="false" ht="15" hidden="false" customHeight="false" outlineLevel="0" collapsed="false">
      <c r="A1643" s="25" t="n">
        <v>46278</v>
      </c>
      <c r="B1643" s="26" t="s">
        <v>18</v>
      </c>
      <c r="C1643" s="26" t="s">
        <v>73</v>
      </c>
      <c r="D1643" s="26" t="s">
        <v>27</v>
      </c>
      <c r="E1643" s="26" t="n">
        <v>25</v>
      </c>
    </row>
    <row r="1644" customFormat="false" ht="15" hidden="false" customHeight="false" outlineLevel="0" collapsed="false">
      <c r="A1644" s="25" t="n">
        <v>46278</v>
      </c>
      <c r="B1644" s="26" t="s">
        <v>18</v>
      </c>
      <c r="C1644" s="26" t="s">
        <v>73</v>
      </c>
      <c r="D1644" s="26" t="s">
        <v>26</v>
      </c>
      <c r="E1644" s="26" t="n">
        <v>40</v>
      </c>
    </row>
    <row r="1645" customFormat="false" ht="15" hidden="false" customHeight="false" outlineLevel="0" collapsed="false">
      <c r="A1645" s="25" t="n">
        <v>46278</v>
      </c>
      <c r="B1645" s="26" t="s">
        <v>18</v>
      </c>
      <c r="C1645" s="26" t="s">
        <v>74</v>
      </c>
      <c r="D1645" s="26" t="s">
        <v>27</v>
      </c>
      <c r="E1645" s="26" t="n">
        <v>10</v>
      </c>
    </row>
    <row r="1646" customFormat="false" ht="15" hidden="false" customHeight="false" outlineLevel="0" collapsed="false">
      <c r="A1646" s="25" t="n">
        <v>46278</v>
      </c>
      <c r="B1646" s="26" t="s">
        <v>18</v>
      </c>
      <c r="C1646" s="26" t="s">
        <v>74</v>
      </c>
      <c r="D1646" s="26" t="s">
        <v>30</v>
      </c>
      <c r="E1646" s="26" t="n">
        <v>31</v>
      </c>
    </row>
    <row r="1647" customFormat="false" ht="15" hidden="false" customHeight="false" outlineLevel="0" collapsed="false">
      <c r="A1647" s="25" t="n">
        <v>46278</v>
      </c>
      <c r="B1647" s="26" t="s">
        <v>18</v>
      </c>
      <c r="C1647" s="26" t="s">
        <v>74</v>
      </c>
      <c r="D1647" s="26" t="s">
        <v>32</v>
      </c>
      <c r="E1647" s="26" t="n">
        <v>11</v>
      </c>
    </row>
    <row r="1648" customFormat="false" ht="15" hidden="false" customHeight="false" outlineLevel="0" collapsed="false">
      <c r="A1648" s="25" t="n">
        <v>46278</v>
      </c>
      <c r="B1648" s="26" t="s">
        <v>18</v>
      </c>
      <c r="C1648" s="26" t="s">
        <v>74</v>
      </c>
      <c r="D1648" s="26" t="s">
        <v>27</v>
      </c>
      <c r="E1648" s="26" t="n">
        <v>60</v>
      </c>
    </row>
    <row r="1649" customFormat="false" ht="15" hidden="false" customHeight="false" outlineLevel="0" collapsed="false">
      <c r="A1649" s="25" t="n">
        <v>46278</v>
      </c>
      <c r="B1649" s="26" t="s">
        <v>18</v>
      </c>
      <c r="C1649" s="26" t="s">
        <v>74</v>
      </c>
      <c r="D1649" s="26" t="s">
        <v>30</v>
      </c>
      <c r="E1649" s="26" t="n">
        <v>45</v>
      </c>
    </row>
    <row r="1650" customFormat="false" ht="15" hidden="false" customHeight="false" outlineLevel="0" collapsed="false">
      <c r="A1650" s="25" t="n">
        <v>46279</v>
      </c>
      <c r="B1650" s="26" t="s">
        <v>16</v>
      </c>
      <c r="C1650" s="26" t="s">
        <v>72</v>
      </c>
      <c r="D1650" s="26" t="s">
        <v>26</v>
      </c>
      <c r="E1650" s="26" t="n">
        <v>42</v>
      </c>
    </row>
    <row r="1651" customFormat="false" ht="15" hidden="false" customHeight="false" outlineLevel="0" collapsed="false">
      <c r="A1651" s="25" t="n">
        <v>46279</v>
      </c>
      <c r="B1651" s="26" t="s">
        <v>16</v>
      </c>
      <c r="C1651" s="26" t="s">
        <v>72</v>
      </c>
      <c r="D1651" s="26" t="s">
        <v>27</v>
      </c>
      <c r="E1651" s="26" t="n">
        <v>29</v>
      </c>
    </row>
    <row r="1652" customFormat="false" ht="15" hidden="false" customHeight="false" outlineLevel="0" collapsed="false">
      <c r="A1652" s="25" t="n">
        <v>46279</v>
      </c>
      <c r="B1652" s="26" t="s">
        <v>16</v>
      </c>
      <c r="C1652" s="26" t="s">
        <v>72</v>
      </c>
      <c r="D1652" s="26" t="s">
        <v>32</v>
      </c>
      <c r="E1652" s="26" t="n">
        <v>10</v>
      </c>
    </row>
    <row r="1653" customFormat="false" ht="15" hidden="false" customHeight="false" outlineLevel="0" collapsed="false">
      <c r="A1653" s="25" t="n">
        <v>46279</v>
      </c>
      <c r="B1653" s="26" t="s">
        <v>16</v>
      </c>
      <c r="C1653" s="26" t="s">
        <v>74</v>
      </c>
      <c r="D1653" s="26" t="s">
        <v>26</v>
      </c>
      <c r="E1653" s="26" t="n">
        <v>47</v>
      </c>
    </row>
    <row r="1654" customFormat="false" ht="15" hidden="false" customHeight="false" outlineLevel="0" collapsed="false">
      <c r="A1654" s="25" t="n">
        <v>46279</v>
      </c>
      <c r="B1654" s="26" t="s">
        <v>16</v>
      </c>
      <c r="C1654" s="26" t="s">
        <v>74</v>
      </c>
      <c r="D1654" s="26" t="s">
        <v>31</v>
      </c>
      <c r="E1654" s="26" t="n">
        <v>45</v>
      </c>
    </row>
    <row r="1655" customFormat="false" ht="15" hidden="false" customHeight="false" outlineLevel="0" collapsed="false">
      <c r="A1655" s="25" t="n">
        <v>46279</v>
      </c>
      <c r="B1655" s="26" t="s">
        <v>16</v>
      </c>
      <c r="C1655" s="26" t="s">
        <v>74</v>
      </c>
      <c r="D1655" s="26" t="s">
        <v>26</v>
      </c>
      <c r="E1655" s="26" t="n">
        <v>10</v>
      </c>
    </row>
    <row r="1656" customFormat="false" ht="15" hidden="false" customHeight="false" outlineLevel="0" collapsed="false">
      <c r="A1656" s="25" t="n">
        <v>46279</v>
      </c>
      <c r="B1656" s="26" t="s">
        <v>17</v>
      </c>
      <c r="C1656" s="26" t="s">
        <v>72</v>
      </c>
      <c r="D1656" s="26" t="s">
        <v>26</v>
      </c>
      <c r="E1656" s="26" t="n">
        <v>34</v>
      </c>
    </row>
    <row r="1657" customFormat="false" ht="15" hidden="false" customHeight="false" outlineLevel="0" collapsed="false">
      <c r="A1657" s="25" t="n">
        <v>46279</v>
      </c>
      <c r="B1657" s="26" t="s">
        <v>17</v>
      </c>
      <c r="C1657" s="26" t="s">
        <v>72</v>
      </c>
      <c r="D1657" s="26" t="s">
        <v>26</v>
      </c>
      <c r="E1657" s="26" t="n">
        <v>28</v>
      </c>
    </row>
    <row r="1658" customFormat="false" ht="15" hidden="false" customHeight="false" outlineLevel="0" collapsed="false">
      <c r="A1658" s="25" t="n">
        <v>46279</v>
      </c>
      <c r="B1658" s="26" t="s">
        <v>17</v>
      </c>
      <c r="C1658" s="26" t="s">
        <v>72</v>
      </c>
      <c r="D1658" s="26" t="s">
        <v>26</v>
      </c>
      <c r="E1658" s="26" t="n">
        <v>42</v>
      </c>
    </row>
    <row r="1659" customFormat="false" ht="15" hidden="false" customHeight="false" outlineLevel="0" collapsed="false">
      <c r="A1659" s="25" t="n">
        <v>46279</v>
      </c>
      <c r="B1659" s="26" t="s">
        <v>17</v>
      </c>
      <c r="C1659" s="26" t="s">
        <v>73</v>
      </c>
      <c r="D1659" s="26" t="s">
        <v>32</v>
      </c>
      <c r="E1659" s="26" t="n">
        <v>34</v>
      </c>
    </row>
    <row r="1660" customFormat="false" ht="15" hidden="false" customHeight="false" outlineLevel="0" collapsed="false">
      <c r="A1660" s="25" t="n">
        <v>46279</v>
      </c>
      <c r="B1660" s="26" t="s">
        <v>17</v>
      </c>
      <c r="C1660" s="26" t="s">
        <v>74</v>
      </c>
      <c r="D1660" s="26" t="s">
        <v>29</v>
      </c>
      <c r="E1660" s="26" t="n">
        <v>16</v>
      </c>
    </row>
    <row r="1661" customFormat="false" ht="15" hidden="false" customHeight="false" outlineLevel="0" collapsed="false">
      <c r="A1661" s="25" t="n">
        <v>46279</v>
      </c>
      <c r="B1661" s="26" t="s">
        <v>17</v>
      </c>
      <c r="C1661" s="26" t="s">
        <v>74</v>
      </c>
      <c r="D1661" s="26" t="s">
        <v>26</v>
      </c>
      <c r="E1661" s="26" t="n">
        <v>29</v>
      </c>
    </row>
    <row r="1662" customFormat="false" ht="15" hidden="false" customHeight="false" outlineLevel="0" collapsed="false">
      <c r="A1662" s="25" t="n">
        <v>46279</v>
      </c>
      <c r="B1662" s="26" t="s">
        <v>17</v>
      </c>
      <c r="C1662" s="26" t="s">
        <v>74</v>
      </c>
      <c r="D1662" s="26" t="s">
        <v>28</v>
      </c>
      <c r="E1662" s="26" t="n">
        <v>74</v>
      </c>
    </row>
    <row r="1663" customFormat="false" ht="15" hidden="false" customHeight="false" outlineLevel="0" collapsed="false">
      <c r="A1663" s="25" t="n">
        <v>46279</v>
      </c>
      <c r="B1663" s="26" t="s">
        <v>18</v>
      </c>
      <c r="C1663" s="26" t="s">
        <v>72</v>
      </c>
      <c r="D1663" s="26" t="s">
        <v>30</v>
      </c>
      <c r="E1663" s="26" t="n">
        <v>50</v>
      </c>
    </row>
    <row r="1664" customFormat="false" ht="15" hidden="false" customHeight="false" outlineLevel="0" collapsed="false">
      <c r="A1664" s="25" t="n">
        <v>46279</v>
      </c>
      <c r="B1664" s="26" t="s">
        <v>18</v>
      </c>
      <c r="C1664" s="26" t="s">
        <v>72</v>
      </c>
      <c r="D1664" s="26" t="s">
        <v>27</v>
      </c>
      <c r="E1664" s="26" t="n">
        <v>49</v>
      </c>
    </row>
    <row r="1665" customFormat="false" ht="15" hidden="false" customHeight="false" outlineLevel="0" collapsed="false">
      <c r="A1665" s="25" t="n">
        <v>46279</v>
      </c>
      <c r="B1665" s="26" t="s">
        <v>18</v>
      </c>
      <c r="C1665" s="26" t="s">
        <v>72</v>
      </c>
      <c r="D1665" s="26" t="s">
        <v>32</v>
      </c>
      <c r="E1665" s="26" t="n">
        <v>11</v>
      </c>
    </row>
    <row r="1666" customFormat="false" ht="15" hidden="false" customHeight="false" outlineLevel="0" collapsed="false">
      <c r="A1666" s="25" t="n">
        <v>46279</v>
      </c>
      <c r="B1666" s="26" t="s">
        <v>18</v>
      </c>
      <c r="C1666" s="26" t="s">
        <v>72</v>
      </c>
      <c r="D1666" s="26" t="s">
        <v>30</v>
      </c>
      <c r="E1666" s="26" t="n">
        <v>21</v>
      </c>
    </row>
    <row r="1667" customFormat="false" ht="15" hidden="false" customHeight="false" outlineLevel="0" collapsed="false">
      <c r="A1667" s="25" t="n">
        <v>46279</v>
      </c>
      <c r="B1667" s="26" t="s">
        <v>18</v>
      </c>
      <c r="C1667" s="26" t="s">
        <v>72</v>
      </c>
      <c r="D1667" s="26" t="s">
        <v>29</v>
      </c>
      <c r="E1667" s="26" t="n">
        <v>15</v>
      </c>
    </row>
    <row r="1668" customFormat="false" ht="15" hidden="false" customHeight="false" outlineLevel="0" collapsed="false">
      <c r="A1668" s="25" t="n">
        <v>46279</v>
      </c>
      <c r="B1668" s="26" t="s">
        <v>18</v>
      </c>
      <c r="C1668" s="26" t="s">
        <v>73</v>
      </c>
      <c r="D1668" s="26" t="s">
        <v>27</v>
      </c>
      <c r="E1668" s="26" t="n">
        <v>29</v>
      </c>
    </row>
    <row r="1669" customFormat="false" ht="15" hidden="false" customHeight="false" outlineLevel="0" collapsed="false">
      <c r="A1669" s="25" t="n">
        <v>46279</v>
      </c>
      <c r="B1669" s="26" t="s">
        <v>18</v>
      </c>
      <c r="C1669" s="26" t="s">
        <v>73</v>
      </c>
      <c r="D1669" s="26" t="s">
        <v>28</v>
      </c>
      <c r="E1669" s="26" t="n">
        <v>7</v>
      </c>
    </row>
    <row r="1670" customFormat="false" ht="15" hidden="false" customHeight="false" outlineLevel="0" collapsed="false">
      <c r="A1670" s="25" t="n">
        <v>46279</v>
      </c>
      <c r="B1670" s="26" t="s">
        <v>18</v>
      </c>
      <c r="C1670" s="26" t="s">
        <v>73</v>
      </c>
      <c r="D1670" s="26" t="s">
        <v>26</v>
      </c>
      <c r="E1670" s="26" t="n">
        <v>31</v>
      </c>
    </row>
    <row r="1671" customFormat="false" ht="15" hidden="false" customHeight="false" outlineLevel="0" collapsed="false">
      <c r="A1671" s="25" t="n">
        <v>46279</v>
      </c>
      <c r="B1671" s="26" t="s">
        <v>18</v>
      </c>
      <c r="C1671" s="26" t="s">
        <v>73</v>
      </c>
      <c r="D1671" s="26" t="s">
        <v>27</v>
      </c>
      <c r="E1671" s="26" t="n">
        <v>18</v>
      </c>
    </row>
    <row r="1672" customFormat="false" ht="15" hidden="false" customHeight="false" outlineLevel="0" collapsed="false">
      <c r="A1672" s="25" t="n">
        <v>46279</v>
      </c>
      <c r="B1672" s="26" t="s">
        <v>18</v>
      </c>
      <c r="C1672" s="26" t="s">
        <v>74</v>
      </c>
      <c r="D1672" s="26" t="s">
        <v>28</v>
      </c>
      <c r="E1672" s="26" t="n">
        <v>61</v>
      </c>
    </row>
    <row r="1673" customFormat="false" ht="15" hidden="false" customHeight="false" outlineLevel="0" collapsed="false">
      <c r="A1673" s="25" t="n">
        <v>46279</v>
      </c>
      <c r="B1673" s="26" t="s">
        <v>18</v>
      </c>
      <c r="C1673" s="26" t="s">
        <v>74</v>
      </c>
      <c r="D1673" s="26" t="s">
        <v>26</v>
      </c>
      <c r="E1673" s="26" t="n">
        <v>39</v>
      </c>
    </row>
    <row r="1674" customFormat="false" ht="15" hidden="false" customHeight="false" outlineLevel="0" collapsed="false">
      <c r="A1674" s="25" t="n">
        <v>46280</v>
      </c>
      <c r="B1674" s="26" t="s">
        <v>16</v>
      </c>
      <c r="C1674" s="26" t="s">
        <v>72</v>
      </c>
      <c r="D1674" s="26" t="s">
        <v>27</v>
      </c>
      <c r="E1674" s="26" t="n">
        <v>23</v>
      </c>
    </row>
    <row r="1675" customFormat="false" ht="15" hidden="false" customHeight="false" outlineLevel="0" collapsed="false">
      <c r="A1675" s="25" t="n">
        <v>46280</v>
      </c>
      <c r="B1675" s="26" t="s">
        <v>16</v>
      </c>
      <c r="C1675" s="26" t="s">
        <v>72</v>
      </c>
      <c r="D1675" s="26" t="s">
        <v>32</v>
      </c>
      <c r="E1675" s="26" t="n">
        <v>17</v>
      </c>
    </row>
    <row r="1676" customFormat="false" ht="15" hidden="false" customHeight="false" outlineLevel="0" collapsed="false">
      <c r="A1676" s="25" t="n">
        <v>46280</v>
      </c>
      <c r="B1676" s="26" t="s">
        <v>16</v>
      </c>
      <c r="C1676" s="26" t="s">
        <v>72</v>
      </c>
      <c r="D1676" s="26" t="s">
        <v>29</v>
      </c>
      <c r="E1676" s="26" t="n">
        <v>15</v>
      </c>
    </row>
    <row r="1677" customFormat="false" ht="15" hidden="false" customHeight="false" outlineLevel="0" collapsed="false">
      <c r="A1677" s="25" t="n">
        <v>46280</v>
      </c>
      <c r="B1677" s="26" t="s">
        <v>16</v>
      </c>
      <c r="C1677" s="26" t="s">
        <v>73</v>
      </c>
      <c r="D1677" s="26" t="s">
        <v>32</v>
      </c>
      <c r="E1677" s="26" t="n">
        <v>22</v>
      </c>
    </row>
    <row r="1678" customFormat="false" ht="15" hidden="false" customHeight="false" outlineLevel="0" collapsed="false">
      <c r="A1678" s="25" t="n">
        <v>46280</v>
      </c>
      <c r="B1678" s="26" t="s">
        <v>16</v>
      </c>
      <c r="C1678" s="26" t="s">
        <v>73</v>
      </c>
      <c r="D1678" s="26" t="s">
        <v>28</v>
      </c>
      <c r="E1678" s="26" t="n">
        <v>21</v>
      </c>
    </row>
    <row r="1679" customFormat="false" ht="15" hidden="false" customHeight="false" outlineLevel="0" collapsed="false">
      <c r="A1679" s="25" t="n">
        <v>46280</v>
      </c>
      <c r="B1679" s="26" t="s">
        <v>17</v>
      </c>
      <c r="C1679" s="26" t="s">
        <v>72</v>
      </c>
      <c r="D1679" s="26" t="s">
        <v>29</v>
      </c>
      <c r="E1679" s="26" t="n">
        <v>28</v>
      </c>
    </row>
    <row r="1680" customFormat="false" ht="15" hidden="false" customHeight="false" outlineLevel="0" collapsed="false">
      <c r="A1680" s="25" t="n">
        <v>46280</v>
      </c>
      <c r="B1680" s="26" t="s">
        <v>17</v>
      </c>
      <c r="C1680" s="26" t="s">
        <v>72</v>
      </c>
      <c r="D1680" s="26" t="s">
        <v>27</v>
      </c>
      <c r="E1680" s="26" t="n">
        <v>29</v>
      </c>
    </row>
    <row r="1681" customFormat="false" ht="15" hidden="false" customHeight="false" outlineLevel="0" collapsed="false">
      <c r="A1681" s="25" t="n">
        <v>46280</v>
      </c>
      <c r="B1681" s="26" t="s">
        <v>17</v>
      </c>
      <c r="C1681" s="26" t="s">
        <v>72</v>
      </c>
      <c r="D1681" s="26" t="s">
        <v>26</v>
      </c>
      <c r="E1681" s="26" t="n">
        <v>35</v>
      </c>
    </row>
    <row r="1682" customFormat="false" ht="15" hidden="false" customHeight="false" outlineLevel="0" collapsed="false">
      <c r="A1682" s="25" t="n">
        <v>46280</v>
      </c>
      <c r="B1682" s="26" t="s">
        <v>17</v>
      </c>
      <c r="C1682" s="26" t="s">
        <v>72</v>
      </c>
      <c r="D1682" s="26" t="s">
        <v>29</v>
      </c>
      <c r="E1682" s="26" t="n">
        <v>25</v>
      </c>
    </row>
    <row r="1683" customFormat="false" ht="15" hidden="false" customHeight="false" outlineLevel="0" collapsed="false">
      <c r="A1683" s="25" t="n">
        <v>46280</v>
      </c>
      <c r="B1683" s="26" t="s">
        <v>17</v>
      </c>
      <c r="C1683" s="26" t="s">
        <v>72</v>
      </c>
      <c r="D1683" s="26" t="s">
        <v>29</v>
      </c>
      <c r="E1683" s="26" t="n">
        <v>30</v>
      </c>
    </row>
    <row r="1684" customFormat="false" ht="15" hidden="false" customHeight="false" outlineLevel="0" collapsed="false">
      <c r="A1684" s="25" t="n">
        <v>46280</v>
      </c>
      <c r="B1684" s="26" t="s">
        <v>17</v>
      </c>
      <c r="C1684" s="26" t="s">
        <v>73</v>
      </c>
      <c r="D1684" s="26" t="s">
        <v>26</v>
      </c>
      <c r="E1684" s="26" t="n">
        <v>32</v>
      </c>
    </row>
    <row r="1685" customFormat="false" ht="15" hidden="false" customHeight="false" outlineLevel="0" collapsed="false">
      <c r="A1685" s="25" t="n">
        <v>46280</v>
      </c>
      <c r="B1685" s="26" t="s">
        <v>17</v>
      </c>
      <c r="C1685" s="26" t="s">
        <v>73</v>
      </c>
      <c r="D1685" s="26" t="s">
        <v>29</v>
      </c>
      <c r="E1685" s="26" t="n">
        <v>12</v>
      </c>
    </row>
    <row r="1686" customFormat="false" ht="15" hidden="false" customHeight="false" outlineLevel="0" collapsed="false">
      <c r="A1686" s="25" t="n">
        <v>46280</v>
      </c>
      <c r="B1686" s="26" t="s">
        <v>17</v>
      </c>
      <c r="C1686" s="26" t="s">
        <v>73</v>
      </c>
      <c r="D1686" s="26" t="s">
        <v>26</v>
      </c>
      <c r="E1686" s="26" t="n">
        <v>16</v>
      </c>
    </row>
    <row r="1687" customFormat="false" ht="15" hidden="false" customHeight="false" outlineLevel="0" collapsed="false">
      <c r="A1687" s="25" t="n">
        <v>46280</v>
      </c>
      <c r="B1687" s="26" t="s">
        <v>17</v>
      </c>
      <c r="C1687" s="26" t="s">
        <v>73</v>
      </c>
      <c r="D1687" s="26" t="s">
        <v>26</v>
      </c>
      <c r="E1687" s="26" t="n">
        <v>43</v>
      </c>
    </row>
    <row r="1688" customFormat="false" ht="15" hidden="false" customHeight="false" outlineLevel="0" collapsed="false">
      <c r="A1688" s="25" t="n">
        <v>46280</v>
      </c>
      <c r="B1688" s="26" t="s">
        <v>17</v>
      </c>
      <c r="C1688" s="26" t="s">
        <v>73</v>
      </c>
      <c r="D1688" s="26" t="s">
        <v>26</v>
      </c>
      <c r="E1688" s="26" t="n">
        <v>22</v>
      </c>
    </row>
    <row r="1689" customFormat="false" ht="15" hidden="false" customHeight="false" outlineLevel="0" collapsed="false">
      <c r="A1689" s="25" t="n">
        <v>46280</v>
      </c>
      <c r="B1689" s="26" t="s">
        <v>17</v>
      </c>
      <c r="C1689" s="26" t="s">
        <v>73</v>
      </c>
      <c r="D1689" s="26" t="s">
        <v>28</v>
      </c>
      <c r="E1689" s="26" t="n">
        <v>48</v>
      </c>
    </row>
    <row r="1690" customFormat="false" ht="15" hidden="false" customHeight="false" outlineLevel="0" collapsed="false">
      <c r="A1690" s="25" t="n">
        <v>46280</v>
      </c>
      <c r="B1690" s="26" t="s">
        <v>17</v>
      </c>
      <c r="C1690" s="26" t="s">
        <v>74</v>
      </c>
      <c r="D1690" s="26" t="s">
        <v>26</v>
      </c>
      <c r="E1690" s="26" t="n">
        <v>47</v>
      </c>
    </row>
    <row r="1691" customFormat="false" ht="15" hidden="false" customHeight="false" outlineLevel="0" collapsed="false">
      <c r="A1691" s="25" t="n">
        <v>46280</v>
      </c>
      <c r="B1691" s="26" t="s">
        <v>17</v>
      </c>
      <c r="C1691" s="26" t="s">
        <v>74</v>
      </c>
      <c r="D1691" s="26" t="s">
        <v>26</v>
      </c>
      <c r="E1691" s="26" t="n">
        <v>56</v>
      </c>
    </row>
    <row r="1692" customFormat="false" ht="15" hidden="false" customHeight="false" outlineLevel="0" collapsed="false">
      <c r="A1692" s="25" t="n">
        <v>46280</v>
      </c>
      <c r="B1692" s="26" t="s">
        <v>17</v>
      </c>
      <c r="C1692" s="26" t="s">
        <v>74</v>
      </c>
      <c r="D1692" s="26" t="s">
        <v>29</v>
      </c>
      <c r="E1692" s="26" t="n">
        <v>18</v>
      </c>
    </row>
    <row r="1693" customFormat="false" ht="15" hidden="false" customHeight="false" outlineLevel="0" collapsed="false">
      <c r="A1693" s="25" t="n">
        <v>46280</v>
      </c>
      <c r="B1693" s="26" t="s">
        <v>18</v>
      </c>
      <c r="C1693" s="26" t="s">
        <v>72</v>
      </c>
      <c r="D1693" s="26" t="s">
        <v>30</v>
      </c>
      <c r="E1693" s="26" t="n">
        <v>24</v>
      </c>
    </row>
    <row r="1694" customFormat="false" ht="15" hidden="false" customHeight="false" outlineLevel="0" collapsed="false">
      <c r="A1694" s="25" t="n">
        <v>46280</v>
      </c>
      <c r="B1694" s="26" t="s">
        <v>18</v>
      </c>
      <c r="C1694" s="26" t="s">
        <v>73</v>
      </c>
      <c r="D1694" s="26" t="s">
        <v>31</v>
      </c>
      <c r="E1694" s="26" t="n">
        <v>39</v>
      </c>
    </row>
    <row r="1695" customFormat="false" ht="15" hidden="false" customHeight="false" outlineLevel="0" collapsed="false">
      <c r="A1695" s="25" t="n">
        <v>46280</v>
      </c>
      <c r="B1695" s="26" t="s">
        <v>18</v>
      </c>
      <c r="C1695" s="26" t="s">
        <v>73</v>
      </c>
      <c r="D1695" s="26" t="s">
        <v>27</v>
      </c>
      <c r="E1695" s="26" t="n">
        <v>14</v>
      </c>
    </row>
    <row r="1696" customFormat="false" ht="15" hidden="false" customHeight="false" outlineLevel="0" collapsed="false">
      <c r="A1696" s="25" t="n">
        <v>46280</v>
      </c>
      <c r="B1696" s="26" t="s">
        <v>18</v>
      </c>
      <c r="C1696" s="26" t="s">
        <v>73</v>
      </c>
      <c r="D1696" s="26" t="s">
        <v>26</v>
      </c>
      <c r="E1696" s="26" t="n">
        <v>37</v>
      </c>
    </row>
    <row r="1697" customFormat="false" ht="15" hidden="false" customHeight="false" outlineLevel="0" collapsed="false">
      <c r="A1697" s="25" t="n">
        <v>46280</v>
      </c>
      <c r="B1697" s="26" t="s">
        <v>18</v>
      </c>
      <c r="C1697" s="26" t="s">
        <v>73</v>
      </c>
      <c r="D1697" s="26" t="s">
        <v>30</v>
      </c>
      <c r="E1697" s="26" t="n">
        <v>43</v>
      </c>
    </row>
    <row r="1698" customFormat="false" ht="15" hidden="false" customHeight="false" outlineLevel="0" collapsed="false">
      <c r="A1698" s="25" t="n">
        <v>46280</v>
      </c>
      <c r="B1698" s="26" t="s">
        <v>18</v>
      </c>
      <c r="C1698" s="26" t="s">
        <v>73</v>
      </c>
      <c r="D1698" s="26" t="s">
        <v>28</v>
      </c>
      <c r="E1698" s="26" t="n">
        <v>23</v>
      </c>
    </row>
    <row r="1699" customFormat="false" ht="15" hidden="false" customHeight="false" outlineLevel="0" collapsed="false">
      <c r="A1699" s="25" t="n">
        <v>46280</v>
      </c>
      <c r="B1699" s="26" t="s">
        <v>18</v>
      </c>
      <c r="C1699" s="26" t="s">
        <v>74</v>
      </c>
      <c r="D1699" s="26" t="s">
        <v>26</v>
      </c>
      <c r="E1699" s="26" t="n">
        <v>41</v>
      </c>
    </row>
    <row r="1700" customFormat="false" ht="15" hidden="false" customHeight="false" outlineLevel="0" collapsed="false">
      <c r="A1700" s="25" t="n">
        <v>46280</v>
      </c>
      <c r="B1700" s="26" t="s">
        <v>18</v>
      </c>
      <c r="C1700" s="26" t="s">
        <v>74</v>
      </c>
      <c r="D1700" s="26" t="s">
        <v>28</v>
      </c>
      <c r="E1700" s="26" t="n">
        <v>21</v>
      </c>
    </row>
    <row r="1701" customFormat="false" ht="15" hidden="false" customHeight="false" outlineLevel="0" collapsed="false">
      <c r="A1701" s="25" t="n">
        <v>46281</v>
      </c>
      <c r="B1701" s="26" t="s">
        <v>16</v>
      </c>
      <c r="C1701" s="26" t="s">
        <v>73</v>
      </c>
      <c r="D1701" s="26" t="s">
        <v>31</v>
      </c>
      <c r="E1701" s="26" t="n">
        <v>33</v>
      </c>
    </row>
    <row r="1702" customFormat="false" ht="15" hidden="false" customHeight="false" outlineLevel="0" collapsed="false">
      <c r="A1702" s="25" t="n">
        <v>46281</v>
      </c>
      <c r="B1702" s="26" t="s">
        <v>16</v>
      </c>
      <c r="C1702" s="26" t="s">
        <v>74</v>
      </c>
      <c r="D1702" s="26" t="s">
        <v>30</v>
      </c>
      <c r="E1702" s="26" t="n">
        <v>30</v>
      </c>
    </row>
    <row r="1703" customFormat="false" ht="15" hidden="false" customHeight="false" outlineLevel="0" collapsed="false">
      <c r="A1703" s="25" t="n">
        <v>46281</v>
      </c>
      <c r="B1703" s="26" t="s">
        <v>16</v>
      </c>
      <c r="C1703" s="26" t="s">
        <v>74</v>
      </c>
      <c r="D1703" s="26" t="s">
        <v>26</v>
      </c>
      <c r="E1703" s="26" t="n">
        <v>49</v>
      </c>
    </row>
    <row r="1704" customFormat="false" ht="15" hidden="false" customHeight="false" outlineLevel="0" collapsed="false">
      <c r="A1704" s="25" t="n">
        <v>46281</v>
      </c>
      <c r="B1704" s="26" t="s">
        <v>17</v>
      </c>
      <c r="C1704" s="26" t="s">
        <v>72</v>
      </c>
      <c r="D1704" s="26" t="s">
        <v>30</v>
      </c>
      <c r="E1704" s="26" t="n">
        <v>29</v>
      </c>
    </row>
    <row r="1705" customFormat="false" ht="15" hidden="false" customHeight="false" outlineLevel="0" collapsed="false">
      <c r="A1705" s="25" t="n">
        <v>46281</v>
      </c>
      <c r="B1705" s="26" t="s">
        <v>17</v>
      </c>
      <c r="C1705" s="26" t="s">
        <v>72</v>
      </c>
      <c r="D1705" s="26" t="s">
        <v>26</v>
      </c>
      <c r="E1705" s="26" t="n">
        <v>19</v>
      </c>
    </row>
    <row r="1706" customFormat="false" ht="15" hidden="false" customHeight="false" outlineLevel="0" collapsed="false">
      <c r="A1706" s="25" t="n">
        <v>46281</v>
      </c>
      <c r="B1706" s="26" t="s">
        <v>17</v>
      </c>
      <c r="C1706" s="26" t="s">
        <v>72</v>
      </c>
      <c r="D1706" s="26" t="s">
        <v>27</v>
      </c>
      <c r="E1706" s="26" t="n">
        <v>25</v>
      </c>
    </row>
    <row r="1707" customFormat="false" ht="15" hidden="false" customHeight="false" outlineLevel="0" collapsed="false">
      <c r="A1707" s="25" t="n">
        <v>46281</v>
      </c>
      <c r="B1707" s="26" t="s">
        <v>17</v>
      </c>
      <c r="C1707" s="26" t="s">
        <v>73</v>
      </c>
      <c r="D1707" s="26" t="s">
        <v>30</v>
      </c>
      <c r="E1707" s="26" t="n">
        <v>20</v>
      </c>
    </row>
    <row r="1708" customFormat="false" ht="15" hidden="false" customHeight="false" outlineLevel="0" collapsed="false">
      <c r="A1708" s="25" t="n">
        <v>46281</v>
      </c>
      <c r="B1708" s="26" t="s">
        <v>17</v>
      </c>
      <c r="C1708" s="26" t="s">
        <v>74</v>
      </c>
      <c r="D1708" s="26" t="s">
        <v>27</v>
      </c>
      <c r="E1708" s="26" t="n">
        <v>27</v>
      </c>
    </row>
    <row r="1709" customFormat="false" ht="15" hidden="false" customHeight="false" outlineLevel="0" collapsed="false">
      <c r="A1709" s="25" t="n">
        <v>46281</v>
      </c>
      <c r="B1709" s="26" t="s">
        <v>17</v>
      </c>
      <c r="C1709" s="26" t="s">
        <v>74</v>
      </c>
      <c r="D1709" s="26" t="s">
        <v>26</v>
      </c>
      <c r="E1709" s="26" t="n">
        <v>29</v>
      </c>
    </row>
    <row r="1710" customFormat="false" ht="15" hidden="false" customHeight="false" outlineLevel="0" collapsed="false">
      <c r="A1710" s="25" t="n">
        <v>46281</v>
      </c>
      <c r="B1710" s="26" t="s">
        <v>17</v>
      </c>
      <c r="C1710" s="26" t="s">
        <v>74</v>
      </c>
      <c r="D1710" s="26" t="s">
        <v>29</v>
      </c>
      <c r="E1710" s="26" t="n">
        <v>18</v>
      </c>
    </row>
    <row r="1711" customFormat="false" ht="15" hidden="false" customHeight="false" outlineLevel="0" collapsed="false">
      <c r="A1711" s="25" t="n">
        <v>46281</v>
      </c>
      <c r="B1711" s="26" t="s">
        <v>18</v>
      </c>
      <c r="C1711" s="26" t="s">
        <v>72</v>
      </c>
      <c r="D1711" s="26" t="s">
        <v>28</v>
      </c>
      <c r="E1711" s="26" t="n">
        <v>35</v>
      </c>
    </row>
    <row r="1712" customFormat="false" ht="15" hidden="false" customHeight="false" outlineLevel="0" collapsed="false">
      <c r="A1712" s="25" t="n">
        <v>46281</v>
      </c>
      <c r="B1712" s="26" t="s">
        <v>18</v>
      </c>
      <c r="C1712" s="26" t="s">
        <v>72</v>
      </c>
      <c r="D1712" s="26" t="s">
        <v>26</v>
      </c>
      <c r="E1712" s="26" t="n">
        <v>18</v>
      </c>
    </row>
    <row r="1713" customFormat="false" ht="15" hidden="false" customHeight="false" outlineLevel="0" collapsed="false">
      <c r="A1713" s="25" t="n">
        <v>46281</v>
      </c>
      <c r="B1713" s="26" t="s">
        <v>18</v>
      </c>
      <c r="C1713" s="26" t="s">
        <v>73</v>
      </c>
      <c r="D1713" s="26" t="s">
        <v>28</v>
      </c>
      <c r="E1713" s="26" t="n">
        <v>46</v>
      </c>
    </row>
    <row r="1714" customFormat="false" ht="15" hidden="false" customHeight="false" outlineLevel="0" collapsed="false">
      <c r="A1714" s="25" t="n">
        <v>46281</v>
      </c>
      <c r="B1714" s="26" t="s">
        <v>18</v>
      </c>
      <c r="C1714" s="26" t="s">
        <v>74</v>
      </c>
      <c r="D1714" s="26" t="s">
        <v>31</v>
      </c>
      <c r="E1714" s="26" t="n">
        <v>58</v>
      </c>
    </row>
    <row r="1715" customFormat="false" ht="15" hidden="false" customHeight="false" outlineLevel="0" collapsed="false">
      <c r="A1715" s="25" t="n">
        <v>46281</v>
      </c>
      <c r="B1715" s="26" t="s">
        <v>18</v>
      </c>
      <c r="C1715" s="26" t="s">
        <v>74</v>
      </c>
      <c r="D1715" s="26" t="s">
        <v>27</v>
      </c>
      <c r="E1715" s="26" t="n">
        <v>43</v>
      </c>
    </row>
    <row r="1716" customFormat="false" ht="15" hidden="false" customHeight="false" outlineLevel="0" collapsed="false">
      <c r="A1716" s="25" t="n">
        <v>46281</v>
      </c>
      <c r="B1716" s="26" t="s">
        <v>18</v>
      </c>
      <c r="C1716" s="26" t="s">
        <v>74</v>
      </c>
      <c r="D1716" s="26" t="s">
        <v>27</v>
      </c>
      <c r="E1716" s="26" t="n">
        <v>30</v>
      </c>
    </row>
    <row r="1717" customFormat="false" ht="15" hidden="false" customHeight="false" outlineLevel="0" collapsed="false">
      <c r="A1717" s="25" t="n">
        <v>46281</v>
      </c>
      <c r="B1717" s="26" t="s">
        <v>18</v>
      </c>
      <c r="C1717" s="26" t="s">
        <v>74</v>
      </c>
      <c r="D1717" s="26" t="s">
        <v>32</v>
      </c>
      <c r="E1717" s="26" t="n">
        <v>7</v>
      </c>
    </row>
    <row r="1718" customFormat="false" ht="15" hidden="false" customHeight="false" outlineLevel="0" collapsed="false">
      <c r="A1718" s="25" t="n">
        <v>46281</v>
      </c>
      <c r="B1718" s="26" t="s">
        <v>18</v>
      </c>
      <c r="C1718" s="26" t="s">
        <v>74</v>
      </c>
      <c r="D1718" s="26" t="s">
        <v>27</v>
      </c>
      <c r="E1718" s="26" t="n">
        <v>18</v>
      </c>
    </row>
    <row r="1719" customFormat="false" ht="15" hidden="false" customHeight="false" outlineLevel="0" collapsed="false">
      <c r="A1719" s="25" t="n">
        <v>46282</v>
      </c>
      <c r="B1719" s="26" t="s">
        <v>16</v>
      </c>
      <c r="C1719" s="26" t="s">
        <v>72</v>
      </c>
      <c r="D1719" s="26" t="s">
        <v>27</v>
      </c>
      <c r="E1719" s="26" t="n">
        <v>29</v>
      </c>
    </row>
    <row r="1720" customFormat="false" ht="15" hidden="false" customHeight="false" outlineLevel="0" collapsed="false">
      <c r="A1720" s="25" t="n">
        <v>46282</v>
      </c>
      <c r="B1720" s="26" t="s">
        <v>16</v>
      </c>
      <c r="C1720" s="26" t="s">
        <v>72</v>
      </c>
      <c r="D1720" s="26" t="s">
        <v>30</v>
      </c>
      <c r="E1720" s="26" t="n">
        <v>31</v>
      </c>
    </row>
    <row r="1721" customFormat="false" ht="15" hidden="false" customHeight="false" outlineLevel="0" collapsed="false">
      <c r="A1721" s="25" t="n">
        <v>46282</v>
      </c>
      <c r="B1721" s="26" t="s">
        <v>16</v>
      </c>
      <c r="C1721" s="26" t="s">
        <v>73</v>
      </c>
      <c r="D1721" s="26" t="s">
        <v>29</v>
      </c>
      <c r="E1721" s="26" t="n">
        <v>18</v>
      </c>
    </row>
    <row r="1722" customFormat="false" ht="15" hidden="false" customHeight="false" outlineLevel="0" collapsed="false">
      <c r="A1722" s="25" t="n">
        <v>46282</v>
      </c>
      <c r="B1722" s="26" t="s">
        <v>16</v>
      </c>
      <c r="C1722" s="26" t="s">
        <v>73</v>
      </c>
      <c r="D1722" s="26" t="s">
        <v>26</v>
      </c>
      <c r="E1722" s="26" t="n">
        <v>15</v>
      </c>
    </row>
    <row r="1723" customFormat="false" ht="15" hidden="false" customHeight="false" outlineLevel="0" collapsed="false">
      <c r="A1723" s="25" t="n">
        <v>46282</v>
      </c>
      <c r="B1723" s="26" t="s">
        <v>16</v>
      </c>
      <c r="C1723" s="26" t="s">
        <v>74</v>
      </c>
      <c r="D1723" s="26" t="s">
        <v>32</v>
      </c>
      <c r="E1723" s="26" t="n">
        <v>10</v>
      </c>
    </row>
    <row r="1724" customFormat="false" ht="15" hidden="false" customHeight="false" outlineLevel="0" collapsed="false">
      <c r="A1724" s="25" t="n">
        <v>46282</v>
      </c>
      <c r="B1724" s="26" t="s">
        <v>17</v>
      </c>
      <c r="C1724" s="26" t="s">
        <v>72</v>
      </c>
      <c r="D1724" s="26" t="s">
        <v>30</v>
      </c>
      <c r="E1724" s="26" t="n">
        <v>28</v>
      </c>
    </row>
    <row r="1725" customFormat="false" ht="15" hidden="false" customHeight="false" outlineLevel="0" collapsed="false">
      <c r="A1725" s="25" t="n">
        <v>46282</v>
      </c>
      <c r="B1725" s="26" t="s">
        <v>17</v>
      </c>
      <c r="C1725" s="26" t="s">
        <v>72</v>
      </c>
      <c r="D1725" s="26" t="s">
        <v>26</v>
      </c>
      <c r="E1725" s="26" t="n">
        <v>35</v>
      </c>
    </row>
    <row r="1726" customFormat="false" ht="15" hidden="false" customHeight="false" outlineLevel="0" collapsed="false">
      <c r="A1726" s="25" t="n">
        <v>46282</v>
      </c>
      <c r="B1726" s="26" t="s">
        <v>17</v>
      </c>
      <c r="C1726" s="26" t="s">
        <v>72</v>
      </c>
      <c r="D1726" s="26" t="s">
        <v>26</v>
      </c>
      <c r="E1726" s="26" t="n">
        <v>28</v>
      </c>
    </row>
    <row r="1727" customFormat="false" ht="15" hidden="false" customHeight="false" outlineLevel="0" collapsed="false">
      <c r="A1727" s="25" t="n">
        <v>46282</v>
      </c>
      <c r="B1727" s="26" t="s">
        <v>17</v>
      </c>
      <c r="C1727" s="26" t="s">
        <v>73</v>
      </c>
      <c r="D1727" s="26" t="s">
        <v>26</v>
      </c>
      <c r="E1727" s="26" t="n">
        <v>116</v>
      </c>
    </row>
    <row r="1728" customFormat="false" ht="15" hidden="false" customHeight="false" outlineLevel="0" collapsed="false">
      <c r="A1728" s="25" t="n">
        <v>46282</v>
      </c>
      <c r="B1728" s="26" t="s">
        <v>17</v>
      </c>
      <c r="C1728" s="26" t="s">
        <v>74</v>
      </c>
      <c r="D1728" s="26" t="s">
        <v>29</v>
      </c>
      <c r="E1728" s="26" t="n">
        <v>8</v>
      </c>
    </row>
    <row r="1729" customFormat="false" ht="15" hidden="false" customHeight="false" outlineLevel="0" collapsed="false">
      <c r="A1729" s="25" t="n">
        <v>46282</v>
      </c>
      <c r="B1729" s="26" t="s">
        <v>17</v>
      </c>
      <c r="C1729" s="26" t="s">
        <v>74</v>
      </c>
      <c r="D1729" s="26" t="s">
        <v>26</v>
      </c>
      <c r="E1729" s="26" t="n">
        <v>46</v>
      </c>
    </row>
    <row r="1730" customFormat="false" ht="15" hidden="false" customHeight="false" outlineLevel="0" collapsed="false">
      <c r="A1730" s="25" t="n">
        <v>46282</v>
      </c>
      <c r="B1730" s="26" t="s">
        <v>17</v>
      </c>
      <c r="C1730" s="26" t="s">
        <v>74</v>
      </c>
      <c r="D1730" s="26" t="s">
        <v>26</v>
      </c>
      <c r="E1730" s="26" t="n">
        <v>22</v>
      </c>
    </row>
    <row r="1731" customFormat="false" ht="15" hidden="false" customHeight="false" outlineLevel="0" collapsed="false">
      <c r="A1731" s="25" t="n">
        <v>46282</v>
      </c>
      <c r="B1731" s="26" t="s">
        <v>18</v>
      </c>
      <c r="C1731" s="26" t="s">
        <v>72</v>
      </c>
      <c r="D1731" s="26" t="s">
        <v>26</v>
      </c>
      <c r="E1731" s="26" t="n">
        <v>13</v>
      </c>
    </row>
    <row r="1732" customFormat="false" ht="15" hidden="false" customHeight="false" outlineLevel="0" collapsed="false">
      <c r="A1732" s="25" t="n">
        <v>46282</v>
      </c>
      <c r="B1732" s="26" t="s">
        <v>18</v>
      </c>
      <c r="C1732" s="26" t="s">
        <v>72</v>
      </c>
      <c r="D1732" s="26" t="s">
        <v>26</v>
      </c>
      <c r="E1732" s="26" t="n">
        <v>33</v>
      </c>
    </row>
    <row r="1733" customFormat="false" ht="15" hidden="false" customHeight="false" outlineLevel="0" collapsed="false">
      <c r="A1733" s="25" t="n">
        <v>46282</v>
      </c>
      <c r="B1733" s="26" t="s">
        <v>18</v>
      </c>
      <c r="C1733" s="26" t="s">
        <v>72</v>
      </c>
      <c r="D1733" s="26" t="s">
        <v>29</v>
      </c>
      <c r="E1733" s="26" t="n">
        <v>8</v>
      </c>
    </row>
    <row r="1734" customFormat="false" ht="15" hidden="false" customHeight="false" outlineLevel="0" collapsed="false">
      <c r="A1734" s="25" t="n">
        <v>46282</v>
      </c>
      <c r="B1734" s="26" t="s">
        <v>18</v>
      </c>
      <c r="C1734" s="26" t="s">
        <v>73</v>
      </c>
      <c r="D1734" s="26" t="s">
        <v>29</v>
      </c>
      <c r="E1734" s="26" t="n">
        <v>17</v>
      </c>
    </row>
    <row r="1735" customFormat="false" ht="15" hidden="false" customHeight="false" outlineLevel="0" collapsed="false">
      <c r="A1735" s="25" t="n">
        <v>46282</v>
      </c>
      <c r="B1735" s="26" t="s">
        <v>18</v>
      </c>
      <c r="C1735" s="26" t="s">
        <v>74</v>
      </c>
      <c r="D1735" s="26" t="s">
        <v>27</v>
      </c>
      <c r="E1735" s="26" t="n">
        <v>22</v>
      </c>
    </row>
    <row r="1736" customFormat="false" ht="15" hidden="false" customHeight="false" outlineLevel="0" collapsed="false">
      <c r="A1736" s="25" t="n">
        <v>46282</v>
      </c>
      <c r="B1736" s="26" t="s">
        <v>18</v>
      </c>
      <c r="C1736" s="26" t="s">
        <v>74</v>
      </c>
      <c r="D1736" s="26" t="s">
        <v>26</v>
      </c>
      <c r="E1736" s="26" t="n">
        <v>33</v>
      </c>
    </row>
    <row r="1737" customFormat="false" ht="15" hidden="false" customHeight="false" outlineLevel="0" collapsed="false">
      <c r="A1737" s="25" t="n">
        <v>46282</v>
      </c>
      <c r="B1737" s="26" t="s">
        <v>18</v>
      </c>
      <c r="C1737" s="26" t="s">
        <v>74</v>
      </c>
      <c r="D1737" s="26" t="s">
        <v>26</v>
      </c>
      <c r="E1737" s="26" t="n">
        <v>22</v>
      </c>
    </row>
    <row r="1738" customFormat="false" ht="15" hidden="false" customHeight="false" outlineLevel="0" collapsed="false">
      <c r="A1738" s="25" t="n">
        <v>46283</v>
      </c>
      <c r="B1738" s="26" t="s">
        <v>16</v>
      </c>
      <c r="C1738" s="26" t="s">
        <v>73</v>
      </c>
      <c r="D1738" s="26" t="s">
        <v>26</v>
      </c>
      <c r="E1738" s="26" t="n">
        <v>49</v>
      </c>
    </row>
    <row r="1739" customFormat="false" ht="15" hidden="false" customHeight="false" outlineLevel="0" collapsed="false">
      <c r="A1739" s="25" t="n">
        <v>46283</v>
      </c>
      <c r="B1739" s="26" t="s">
        <v>16</v>
      </c>
      <c r="C1739" s="26" t="s">
        <v>73</v>
      </c>
      <c r="D1739" s="26" t="s">
        <v>29</v>
      </c>
      <c r="E1739" s="26" t="n">
        <v>23</v>
      </c>
    </row>
    <row r="1740" customFormat="false" ht="15" hidden="false" customHeight="false" outlineLevel="0" collapsed="false">
      <c r="A1740" s="25" t="n">
        <v>46283</v>
      </c>
      <c r="B1740" s="26" t="s">
        <v>16</v>
      </c>
      <c r="C1740" s="26" t="s">
        <v>73</v>
      </c>
      <c r="D1740" s="26" t="s">
        <v>30</v>
      </c>
      <c r="E1740" s="26" t="n">
        <v>34</v>
      </c>
    </row>
    <row r="1741" customFormat="false" ht="15" hidden="false" customHeight="false" outlineLevel="0" collapsed="false">
      <c r="A1741" s="25" t="n">
        <v>46283</v>
      </c>
      <c r="B1741" s="26" t="s">
        <v>16</v>
      </c>
      <c r="C1741" s="26" t="s">
        <v>73</v>
      </c>
      <c r="D1741" s="26" t="s">
        <v>27</v>
      </c>
      <c r="E1741" s="26" t="n">
        <v>28</v>
      </c>
    </row>
    <row r="1742" customFormat="false" ht="15" hidden="false" customHeight="false" outlineLevel="0" collapsed="false">
      <c r="A1742" s="25" t="n">
        <v>46283</v>
      </c>
      <c r="B1742" s="26" t="s">
        <v>16</v>
      </c>
      <c r="C1742" s="26" t="s">
        <v>73</v>
      </c>
      <c r="D1742" s="26" t="s">
        <v>28</v>
      </c>
      <c r="E1742" s="26" t="n">
        <v>47</v>
      </c>
    </row>
    <row r="1743" customFormat="false" ht="15" hidden="false" customHeight="false" outlineLevel="0" collapsed="false">
      <c r="A1743" s="25" t="n">
        <v>46283</v>
      </c>
      <c r="B1743" s="26" t="s">
        <v>16</v>
      </c>
      <c r="C1743" s="26" t="s">
        <v>74</v>
      </c>
      <c r="D1743" s="26" t="s">
        <v>27</v>
      </c>
      <c r="E1743" s="26" t="n">
        <v>71</v>
      </c>
    </row>
    <row r="1744" customFormat="false" ht="15" hidden="false" customHeight="false" outlineLevel="0" collapsed="false">
      <c r="A1744" s="25" t="n">
        <v>46283</v>
      </c>
      <c r="B1744" s="26" t="s">
        <v>16</v>
      </c>
      <c r="C1744" s="26" t="s">
        <v>74</v>
      </c>
      <c r="D1744" s="26" t="s">
        <v>30</v>
      </c>
      <c r="E1744" s="26" t="n">
        <v>37</v>
      </c>
    </row>
    <row r="1745" customFormat="false" ht="15" hidden="false" customHeight="false" outlineLevel="0" collapsed="false">
      <c r="A1745" s="25" t="n">
        <v>46283</v>
      </c>
      <c r="B1745" s="26" t="s">
        <v>16</v>
      </c>
      <c r="C1745" s="26" t="s">
        <v>74</v>
      </c>
      <c r="D1745" s="26" t="s">
        <v>30</v>
      </c>
      <c r="E1745" s="26" t="n">
        <v>19</v>
      </c>
    </row>
    <row r="1746" customFormat="false" ht="15" hidden="false" customHeight="false" outlineLevel="0" collapsed="false">
      <c r="A1746" s="25" t="n">
        <v>46283</v>
      </c>
      <c r="B1746" s="26" t="s">
        <v>17</v>
      </c>
      <c r="C1746" s="26" t="s">
        <v>72</v>
      </c>
      <c r="D1746" s="26" t="s">
        <v>29</v>
      </c>
      <c r="E1746" s="26" t="n">
        <v>23</v>
      </c>
    </row>
    <row r="1747" customFormat="false" ht="15" hidden="false" customHeight="false" outlineLevel="0" collapsed="false">
      <c r="A1747" s="25" t="n">
        <v>46283</v>
      </c>
      <c r="B1747" s="26" t="s">
        <v>17</v>
      </c>
      <c r="C1747" s="26" t="s">
        <v>74</v>
      </c>
      <c r="D1747" s="26" t="s">
        <v>26</v>
      </c>
      <c r="E1747" s="26" t="n">
        <v>57</v>
      </c>
    </row>
    <row r="1748" customFormat="false" ht="15" hidden="false" customHeight="false" outlineLevel="0" collapsed="false">
      <c r="A1748" s="25" t="n">
        <v>46283</v>
      </c>
      <c r="B1748" s="26" t="s">
        <v>18</v>
      </c>
      <c r="C1748" s="26" t="s">
        <v>72</v>
      </c>
      <c r="D1748" s="26" t="s">
        <v>29</v>
      </c>
      <c r="E1748" s="26" t="n">
        <v>12</v>
      </c>
    </row>
    <row r="1749" customFormat="false" ht="15" hidden="false" customHeight="false" outlineLevel="0" collapsed="false">
      <c r="A1749" s="25" t="n">
        <v>46283</v>
      </c>
      <c r="B1749" s="26" t="s">
        <v>18</v>
      </c>
      <c r="C1749" s="26" t="s">
        <v>72</v>
      </c>
      <c r="D1749" s="26" t="s">
        <v>26</v>
      </c>
      <c r="E1749" s="26" t="n">
        <v>25</v>
      </c>
    </row>
    <row r="1750" customFormat="false" ht="15" hidden="false" customHeight="false" outlineLevel="0" collapsed="false">
      <c r="A1750" s="25" t="n">
        <v>46283</v>
      </c>
      <c r="B1750" s="26" t="s">
        <v>18</v>
      </c>
      <c r="C1750" s="26" t="s">
        <v>73</v>
      </c>
      <c r="D1750" s="26" t="s">
        <v>32</v>
      </c>
      <c r="E1750" s="26" t="n">
        <v>9</v>
      </c>
    </row>
    <row r="1751" customFormat="false" ht="15" hidden="false" customHeight="false" outlineLevel="0" collapsed="false">
      <c r="A1751" s="25" t="n">
        <v>46283</v>
      </c>
      <c r="B1751" s="26" t="s">
        <v>18</v>
      </c>
      <c r="C1751" s="26" t="s">
        <v>73</v>
      </c>
      <c r="D1751" s="26" t="s">
        <v>26</v>
      </c>
      <c r="E1751" s="26" t="n">
        <v>43</v>
      </c>
    </row>
    <row r="1752" customFormat="false" ht="15" hidden="false" customHeight="false" outlineLevel="0" collapsed="false">
      <c r="A1752" s="25" t="n">
        <v>46283</v>
      </c>
      <c r="B1752" s="26" t="s">
        <v>18</v>
      </c>
      <c r="C1752" s="26" t="s">
        <v>74</v>
      </c>
      <c r="D1752" s="26" t="s">
        <v>26</v>
      </c>
      <c r="E1752" s="26" t="n">
        <v>41</v>
      </c>
    </row>
    <row r="1753" customFormat="false" ht="15" hidden="false" customHeight="false" outlineLevel="0" collapsed="false">
      <c r="A1753" s="25" t="n">
        <v>46283</v>
      </c>
      <c r="B1753" s="26" t="s">
        <v>18</v>
      </c>
      <c r="C1753" s="26" t="s">
        <v>74</v>
      </c>
      <c r="D1753" s="26" t="s">
        <v>26</v>
      </c>
      <c r="E1753" s="26" t="n">
        <v>44</v>
      </c>
    </row>
    <row r="1754" customFormat="false" ht="15" hidden="false" customHeight="false" outlineLevel="0" collapsed="false">
      <c r="A1754" s="25" t="n">
        <v>46284</v>
      </c>
      <c r="B1754" s="26" t="s">
        <v>16</v>
      </c>
      <c r="C1754" s="26" t="s">
        <v>72</v>
      </c>
      <c r="D1754" s="26" t="s">
        <v>27</v>
      </c>
      <c r="E1754" s="26" t="n">
        <v>21</v>
      </c>
    </row>
    <row r="1755" customFormat="false" ht="15" hidden="false" customHeight="false" outlineLevel="0" collapsed="false">
      <c r="A1755" s="25" t="n">
        <v>46284</v>
      </c>
      <c r="B1755" s="26" t="s">
        <v>16</v>
      </c>
      <c r="C1755" s="26" t="s">
        <v>72</v>
      </c>
      <c r="D1755" s="26" t="s">
        <v>26</v>
      </c>
      <c r="E1755" s="26" t="n">
        <v>24</v>
      </c>
    </row>
    <row r="1756" customFormat="false" ht="15" hidden="false" customHeight="false" outlineLevel="0" collapsed="false">
      <c r="A1756" s="25" t="n">
        <v>46284</v>
      </c>
      <c r="B1756" s="26" t="s">
        <v>16</v>
      </c>
      <c r="C1756" s="26" t="s">
        <v>73</v>
      </c>
      <c r="D1756" s="26" t="s">
        <v>27</v>
      </c>
      <c r="E1756" s="26" t="n">
        <v>19</v>
      </c>
    </row>
    <row r="1757" customFormat="false" ht="15" hidden="false" customHeight="false" outlineLevel="0" collapsed="false">
      <c r="A1757" s="25" t="n">
        <v>46284</v>
      </c>
      <c r="B1757" s="26" t="s">
        <v>16</v>
      </c>
      <c r="C1757" s="26" t="s">
        <v>74</v>
      </c>
      <c r="D1757" s="26" t="s">
        <v>28</v>
      </c>
      <c r="E1757" s="26" t="n">
        <v>64</v>
      </c>
    </row>
    <row r="1758" customFormat="false" ht="15" hidden="false" customHeight="false" outlineLevel="0" collapsed="false">
      <c r="A1758" s="25" t="n">
        <v>46284</v>
      </c>
      <c r="B1758" s="26" t="s">
        <v>16</v>
      </c>
      <c r="C1758" s="26" t="s">
        <v>74</v>
      </c>
      <c r="D1758" s="26" t="s">
        <v>28</v>
      </c>
      <c r="E1758" s="26" t="n">
        <v>64</v>
      </c>
    </row>
    <row r="1759" customFormat="false" ht="15" hidden="false" customHeight="false" outlineLevel="0" collapsed="false">
      <c r="A1759" s="25" t="n">
        <v>46284</v>
      </c>
      <c r="B1759" s="26" t="s">
        <v>17</v>
      </c>
      <c r="C1759" s="26" t="s">
        <v>73</v>
      </c>
      <c r="D1759" s="26" t="s">
        <v>28</v>
      </c>
      <c r="E1759" s="26" t="n">
        <v>57</v>
      </c>
    </row>
    <row r="1760" customFormat="false" ht="15" hidden="false" customHeight="false" outlineLevel="0" collapsed="false">
      <c r="A1760" s="25" t="n">
        <v>46284</v>
      </c>
      <c r="B1760" s="26" t="s">
        <v>17</v>
      </c>
      <c r="C1760" s="26" t="s">
        <v>73</v>
      </c>
      <c r="D1760" s="26" t="s">
        <v>28</v>
      </c>
      <c r="E1760" s="26" t="n">
        <v>98</v>
      </c>
    </row>
    <row r="1761" customFormat="false" ht="15" hidden="false" customHeight="false" outlineLevel="0" collapsed="false">
      <c r="A1761" s="25" t="n">
        <v>46284</v>
      </c>
      <c r="B1761" s="26" t="s">
        <v>17</v>
      </c>
      <c r="C1761" s="26" t="s">
        <v>73</v>
      </c>
      <c r="D1761" s="26" t="s">
        <v>29</v>
      </c>
      <c r="E1761" s="26" t="n">
        <v>15</v>
      </c>
    </row>
    <row r="1762" customFormat="false" ht="15" hidden="false" customHeight="false" outlineLevel="0" collapsed="false">
      <c r="A1762" s="25" t="n">
        <v>46284</v>
      </c>
      <c r="B1762" s="26" t="s">
        <v>17</v>
      </c>
      <c r="C1762" s="26" t="s">
        <v>73</v>
      </c>
      <c r="D1762" s="26" t="s">
        <v>28</v>
      </c>
      <c r="E1762" s="26" t="n">
        <v>47</v>
      </c>
    </row>
    <row r="1763" customFormat="false" ht="15" hidden="false" customHeight="false" outlineLevel="0" collapsed="false">
      <c r="A1763" s="25" t="n">
        <v>46284</v>
      </c>
      <c r="B1763" s="26" t="s">
        <v>17</v>
      </c>
      <c r="C1763" s="26" t="s">
        <v>74</v>
      </c>
      <c r="D1763" s="26" t="s">
        <v>28</v>
      </c>
      <c r="E1763" s="26" t="n">
        <v>45</v>
      </c>
    </row>
    <row r="1764" customFormat="false" ht="15" hidden="false" customHeight="false" outlineLevel="0" collapsed="false">
      <c r="A1764" s="25" t="n">
        <v>46284</v>
      </c>
      <c r="B1764" s="26" t="s">
        <v>17</v>
      </c>
      <c r="C1764" s="26" t="s">
        <v>74</v>
      </c>
      <c r="D1764" s="26" t="s">
        <v>27</v>
      </c>
      <c r="E1764" s="26" t="n">
        <v>35</v>
      </c>
    </row>
    <row r="1765" customFormat="false" ht="15" hidden="false" customHeight="false" outlineLevel="0" collapsed="false">
      <c r="A1765" s="25" t="n">
        <v>46284</v>
      </c>
      <c r="B1765" s="26" t="s">
        <v>17</v>
      </c>
      <c r="C1765" s="26" t="s">
        <v>74</v>
      </c>
      <c r="D1765" s="26" t="s">
        <v>28</v>
      </c>
      <c r="E1765" s="26" t="n">
        <v>78</v>
      </c>
    </row>
    <row r="1766" customFormat="false" ht="15" hidden="false" customHeight="false" outlineLevel="0" collapsed="false">
      <c r="A1766" s="25" t="n">
        <v>46284</v>
      </c>
      <c r="B1766" s="26" t="s">
        <v>18</v>
      </c>
      <c r="C1766" s="26" t="s">
        <v>72</v>
      </c>
      <c r="D1766" s="26" t="s">
        <v>28</v>
      </c>
      <c r="E1766" s="26" t="n">
        <v>19</v>
      </c>
    </row>
    <row r="1767" customFormat="false" ht="15" hidden="false" customHeight="false" outlineLevel="0" collapsed="false">
      <c r="A1767" s="25" t="n">
        <v>46284</v>
      </c>
      <c r="B1767" s="26" t="s">
        <v>18</v>
      </c>
      <c r="C1767" s="26" t="s">
        <v>72</v>
      </c>
      <c r="D1767" s="26" t="s">
        <v>28</v>
      </c>
      <c r="E1767" s="26" t="n">
        <v>40</v>
      </c>
    </row>
    <row r="1768" customFormat="false" ht="15" hidden="false" customHeight="false" outlineLevel="0" collapsed="false">
      <c r="A1768" s="25" t="n">
        <v>46284</v>
      </c>
      <c r="B1768" s="26" t="s">
        <v>18</v>
      </c>
      <c r="C1768" s="26" t="s">
        <v>72</v>
      </c>
      <c r="D1768" s="26" t="s">
        <v>26</v>
      </c>
      <c r="E1768" s="26" t="n">
        <v>35</v>
      </c>
    </row>
    <row r="1769" customFormat="false" ht="15" hidden="false" customHeight="false" outlineLevel="0" collapsed="false">
      <c r="A1769" s="25" t="n">
        <v>46284</v>
      </c>
      <c r="B1769" s="26" t="s">
        <v>18</v>
      </c>
      <c r="C1769" s="26" t="s">
        <v>72</v>
      </c>
      <c r="D1769" s="26" t="s">
        <v>26</v>
      </c>
      <c r="E1769" s="26" t="n">
        <v>19</v>
      </c>
    </row>
    <row r="1770" customFormat="false" ht="15" hidden="false" customHeight="false" outlineLevel="0" collapsed="false">
      <c r="A1770" s="25" t="n">
        <v>46284</v>
      </c>
      <c r="B1770" s="26" t="s">
        <v>18</v>
      </c>
      <c r="C1770" s="26" t="s">
        <v>72</v>
      </c>
      <c r="D1770" s="26" t="s">
        <v>26</v>
      </c>
      <c r="E1770" s="26" t="n">
        <v>27</v>
      </c>
    </row>
    <row r="1771" customFormat="false" ht="15" hidden="false" customHeight="false" outlineLevel="0" collapsed="false">
      <c r="A1771" s="25" t="n">
        <v>46284</v>
      </c>
      <c r="B1771" s="26" t="s">
        <v>18</v>
      </c>
      <c r="C1771" s="26" t="s">
        <v>74</v>
      </c>
      <c r="D1771" s="26" t="s">
        <v>31</v>
      </c>
      <c r="E1771" s="26" t="n">
        <v>56</v>
      </c>
    </row>
    <row r="1772" customFormat="false" ht="15" hidden="false" customHeight="false" outlineLevel="0" collapsed="false">
      <c r="A1772" s="25" t="n">
        <v>46284</v>
      </c>
      <c r="B1772" s="26" t="s">
        <v>18</v>
      </c>
      <c r="C1772" s="26" t="s">
        <v>74</v>
      </c>
      <c r="D1772" s="26" t="s">
        <v>30</v>
      </c>
      <c r="E1772" s="26" t="n">
        <v>26</v>
      </c>
    </row>
    <row r="1773" customFormat="false" ht="15" hidden="false" customHeight="false" outlineLevel="0" collapsed="false">
      <c r="A1773" s="25" t="n">
        <v>46284</v>
      </c>
      <c r="B1773" s="26" t="s">
        <v>18</v>
      </c>
      <c r="C1773" s="26" t="s">
        <v>74</v>
      </c>
      <c r="D1773" s="26" t="s">
        <v>27</v>
      </c>
      <c r="E1773" s="26" t="n">
        <v>39</v>
      </c>
    </row>
    <row r="1774" customFormat="false" ht="15" hidden="false" customHeight="false" outlineLevel="0" collapsed="false">
      <c r="A1774" s="25" t="n">
        <v>46285</v>
      </c>
      <c r="B1774" s="26" t="s">
        <v>16</v>
      </c>
      <c r="C1774" s="26" t="s">
        <v>72</v>
      </c>
      <c r="D1774" s="26" t="s">
        <v>28</v>
      </c>
      <c r="E1774" s="26" t="n">
        <v>26</v>
      </c>
    </row>
    <row r="1775" customFormat="false" ht="15" hidden="false" customHeight="false" outlineLevel="0" collapsed="false">
      <c r="A1775" s="25" t="n">
        <v>46285</v>
      </c>
      <c r="B1775" s="26" t="s">
        <v>16</v>
      </c>
      <c r="C1775" s="26" t="s">
        <v>72</v>
      </c>
      <c r="D1775" s="26" t="s">
        <v>29</v>
      </c>
      <c r="E1775" s="26" t="n">
        <v>21</v>
      </c>
    </row>
    <row r="1776" customFormat="false" ht="15" hidden="false" customHeight="false" outlineLevel="0" collapsed="false">
      <c r="A1776" s="25" t="n">
        <v>46285</v>
      </c>
      <c r="B1776" s="26" t="s">
        <v>16</v>
      </c>
      <c r="C1776" s="26" t="s">
        <v>73</v>
      </c>
      <c r="D1776" s="26" t="s">
        <v>26</v>
      </c>
      <c r="E1776" s="26" t="n">
        <v>33</v>
      </c>
    </row>
    <row r="1777" customFormat="false" ht="15" hidden="false" customHeight="false" outlineLevel="0" collapsed="false">
      <c r="A1777" s="25" t="n">
        <v>46285</v>
      </c>
      <c r="B1777" s="26" t="s">
        <v>16</v>
      </c>
      <c r="C1777" s="26" t="s">
        <v>73</v>
      </c>
      <c r="D1777" s="26" t="s">
        <v>26</v>
      </c>
      <c r="E1777" s="26" t="n">
        <v>23</v>
      </c>
    </row>
    <row r="1778" customFormat="false" ht="15" hidden="false" customHeight="false" outlineLevel="0" collapsed="false">
      <c r="A1778" s="25" t="n">
        <v>46285</v>
      </c>
      <c r="B1778" s="26" t="s">
        <v>16</v>
      </c>
      <c r="C1778" s="26" t="s">
        <v>73</v>
      </c>
      <c r="D1778" s="26" t="s">
        <v>32</v>
      </c>
      <c r="E1778" s="26" t="n">
        <v>19</v>
      </c>
    </row>
    <row r="1779" customFormat="false" ht="15" hidden="false" customHeight="false" outlineLevel="0" collapsed="false">
      <c r="A1779" s="25" t="n">
        <v>46285</v>
      </c>
      <c r="B1779" s="26" t="s">
        <v>16</v>
      </c>
      <c r="C1779" s="26" t="s">
        <v>73</v>
      </c>
      <c r="D1779" s="26" t="s">
        <v>31</v>
      </c>
      <c r="E1779" s="26" t="n">
        <v>51</v>
      </c>
    </row>
    <row r="1780" customFormat="false" ht="15" hidden="false" customHeight="false" outlineLevel="0" collapsed="false">
      <c r="A1780" s="25" t="n">
        <v>46285</v>
      </c>
      <c r="B1780" s="26" t="s">
        <v>16</v>
      </c>
      <c r="C1780" s="26" t="s">
        <v>74</v>
      </c>
      <c r="D1780" s="26" t="s">
        <v>27</v>
      </c>
      <c r="E1780" s="26" t="n">
        <v>31</v>
      </c>
    </row>
    <row r="1781" customFormat="false" ht="15" hidden="false" customHeight="false" outlineLevel="0" collapsed="false">
      <c r="A1781" s="25" t="n">
        <v>46285</v>
      </c>
      <c r="B1781" s="26" t="s">
        <v>17</v>
      </c>
      <c r="C1781" s="26" t="s">
        <v>72</v>
      </c>
      <c r="D1781" s="26" t="s">
        <v>26</v>
      </c>
      <c r="E1781" s="26" t="n">
        <v>29</v>
      </c>
    </row>
    <row r="1782" customFormat="false" ht="15" hidden="false" customHeight="false" outlineLevel="0" collapsed="false">
      <c r="A1782" s="25" t="n">
        <v>46285</v>
      </c>
      <c r="B1782" s="26" t="s">
        <v>17</v>
      </c>
      <c r="C1782" s="26" t="s">
        <v>72</v>
      </c>
      <c r="D1782" s="26" t="s">
        <v>29</v>
      </c>
      <c r="E1782" s="26" t="n">
        <v>23</v>
      </c>
    </row>
    <row r="1783" customFormat="false" ht="15" hidden="false" customHeight="false" outlineLevel="0" collapsed="false">
      <c r="A1783" s="25" t="n">
        <v>46285</v>
      </c>
      <c r="B1783" s="26" t="s">
        <v>17</v>
      </c>
      <c r="C1783" s="26" t="s">
        <v>72</v>
      </c>
      <c r="D1783" s="26" t="s">
        <v>26</v>
      </c>
      <c r="E1783" s="26" t="n">
        <v>36</v>
      </c>
    </row>
    <row r="1784" customFormat="false" ht="15" hidden="false" customHeight="false" outlineLevel="0" collapsed="false">
      <c r="A1784" s="25" t="n">
        <v>46285</v>
      </c>
      <c r="B1784" s="26" t="s">
        <v>17</v>
      </c>
      <c r="C1784" s="26" t="s">
        <v>72</v>
      </c>
      <c r="D1784" s="26" t="s">
        <v>31</v>
      </c>
      <c r="E1784" s="26" t="n">
        <v>29</v>
      </c>
    </row>
    <row r="1785" customFormat="false" ht="15" hidden="false" customHeight="false" outlineLevel="0" collapsed="false">
      <c r="A1785" s="25" t="n">
        <v>46285</v>
      </c>
      <c r="B1785" s="26" t="s">
        <v>17</v>
      </c>
      <c r="C1785" s="26" t="s">
        <v>72</v>
      </c>
      <c r="D1785" s="26" t="s">
        <v>26</v>
      </c>
      <c r="E1785" s="26" t="n">
        <v>25</v>
      </c>
    </row>
    <row r="1786" customFormat="false" ht="15" hidden="false" customHeight="false" outlineLevel="0" collapsed="false">
      <c r="A1786" s="25" t="n">
        <v>46285</v>
      </c>
      <c r="B1786" s="26" t="s">
        <v>17</v>
      </c>
      <c r="C1786" s="26" t="s">
        <v>72</v>
      </c>
      <c r="D1786" s="26" t="s">
        <v>26</v>
      </c>
      <c r="E1786" s="26" t="n">
        <v>33</v>
      </c>
    </row>
    <row r="1787" customFormat="false" ht="15" hidden="false" customHeight="false" outlineLevel="0" collapsed="false">
      <c r="A1787" s="25" t="n">
        <v>46285</v>
      </c>
      <c r="B1787" s="26" t="s">
        <v>17</v>
      </c>
      <c r="C1787" s="26" t="s">
        <v>73</v>
      </c>
      <c r="D1787" s="26" t="s">
        <v>27</v>
      </c>
      <c r="E1787" s="26" t="n">
        <v>36</v>
      </c>
    </row>
    <row r="1788" customFormat="false" ht="15" hidden="false" customHeight="false" outlineLevel="0" collapsed="false">
      <c r="A1788" s="25" t="n">
        <v>46285</v>
      </c>
      <c r="B1788" s="26" t="s">
        <v>17</v>
      </c>
      <c r="C1788" s="26" t="s">
        <v>73</v>
      </c>
      <c r="D1788" s="26" t="s">
        <v>26</v>
      </c>
      <c r="E1788" s="26" t="n">
        <v>41</v>
      </c>
    </row>
    <row r="1789" customFormat="false" ht="15" hidden="false" customHeight="false" outlineLevel="0" collapsed="false">
      <c r="A1789" s="25" t="n">
        <v>46285</v>
      </c>
      <c r="B1789" s="26" t="s">
        <v>17</v>
      </c>
      <c r="C1789" s="26" t="s">
        <v>74</v>
      </c>
      <c r="D1789" s="26" t="s">
        <v>27</v>
      </c>
      <c r="E1789" s="26" t="n">
        <v>45</v>
      </c>
    </row>
    <row r="1790" customFormat="false" ht="15" hidden="false" customHeight="false" outlineLevel="0" collapsed="false">
      <c r="A1790" s="25" t="n">
        <v>46285</v>
      </c>
      <c r="B1790" s="26" t="s">
        <v>17</v>
      </c>
      <c r="C1790" s="26" t="s">
        <v>74</v>
      </c>
      <c r="D1790" s="26" t="s">
        <v>26</v>
      </c>
      <c r="E1790" s="26" t="n">
        <v>12</v>
      </c>
    </row>
    <row r="1791" customFormat="false" ht="15" hidden="false" customHeight="false" outlineLevel="0" collapsed="false">
      <c r="A1791" s="25" t="n">
        <v>46285</v>
      </c>
      <c r="B1791" s="26" t="s">
        <v>17</v>
      </c>
      <c r="C1791" s="26" t="s">
        <v>74</v>
      </c>
      <c r="D1791" s="26" t="s">
        <v>26</v>
      </c>
      <c r="E1791" s="26" t="n">
        <v>15</v>
      </c>
    </row>
    <row r="1792" customFormat="false" ht="15" hidden="false" customHeight="false" outlineLevel="0" collapsed="false">
      <c r="A1792" s="25" t="n">
        <v>46285</v>
      </c>
      <c r="B1792" s="26" t="s">
        <v>18</v>
      </c>
      <c r="C1792" s="26" t="s">
        <v>72</v>
      </c>
      <c r="D1792" s="26" t="s">
        <v>31</v>
      </c>
      <c r="E1792" s="26" t="n">
        <v>45</v>
      </c>
    </row>
    <row r="1793" customFormat="false" ht="15" hidden="false" customHeight="false" outlineLevel="0" collapsed="false">
      <c r="A1793" s="25" t="n">
        <v>46285</v>
      </c>
      <c r="B1793" s="26" t="s">
        <v>18</v>
      </c>
      <c r="C1793" s="26" t="s">
        <v>72</v>
      </c>
      <c r="D1793" s="26" t="s">
        <v>29</v>
      </c>
      <c r="E1793" s="26" t="n">
        <v>25</v>
      </c>
    </row>
    <row r="1794" customFormat="false" ht="15" hidden="false" customHeight="false" outlineLevel="0" collapsed="false">
      <c r="A1794" s="25" t="n">
        <v>46285</v>
      </c>
      <c r="B1794" s="26" t="s">
        <v>18</v>
      </c>
      <c r="C1794" s="26" t="s">
        <v>73</v>
      </c>
      <c r="D1794" s="26" t="s">
        <v>27</v>
      </c>
      <c r="E1794" s="26" t="n">
        <v>62</v>
      </c>
    </row>
    <row r="1795" customFormat="false" ht="15" hidden="false" customHeight="false" outlineLevel="0" collapsed="false">
      <c r="A1795" s="25" t="n">
        <v>46285</v>
      </c>
      <c r="B1795" s="26" t="s">
        <v>18</v>
      </c>
      <c r="C1795" s="26" t="s">
        <v>74</v>
      </c>
      <c r="D1795" s="26" t="s">
        <v>29</v>
      </c>
      <c r="E1795" s="26" t="n">
        <v>16</v>
      </c>
    </row>
    <row r="1796" customFormat="false" ht="15" hidden="false" customHeight="false" outlineLevel="0" collapsed="false">
      <c r="A1796" s="25" t="n">
        <v>46285</v>
      </c>
      <c r="B1796" s="26" t="s">
        <v>18</v>
      </c>
      <c r="C1796" s="26" t="s">
        <v>74</v>
      </c>
      <c r="D1796" s="26" t="s">
        <v>27</v>
      </c>
      <c r="E1796" s="26" t="n">
        <v>27</v>
      </c>
    </row>
    <row r="1797" customFormat="false" ht="15" hidden="false" customHeight="false" outlineLevel="0" collapsed="false">
      <c r="A1797" s="25" t="n">
        <v>46286</v>
      </c>
      <c r="B1797" s="26" t="s">
        <v>16</v>
      </c>
      <c r="C1797" s="26" t="s">
        <v>72</v>
      </c>
      <c r="D1797" s="26" t="s">
        <v>26</v>
      </c>
      <c r="E1797" s="26" t="n">
        <v>42</v>
      </c>
    </row>
    <row r="1798" customFormat="false" ht="15" hidden="false" customHeight="false" outlineLevel="0" collapsed="false">
      <c r="A1798" s="25" t="n">
        <v>46286</v>
      </c>
      <c r="B1798" s="26" t="s">
        <v>16</v>
      </c>
      <c r="C1798" s="26" t="s">
        <v>72</v>
      </c>
      <c r="D1798" s="26" t="s">
        <v>26</v>
      </c>
      <c r="E1798" s="26" t="n">
        <v>26</v>
      </c>
    </row>
    <row r="1799" customFormat="false" ht="15" hidden="false" customHeight="false" outlineLevel="0" collapsed="false">
      <c r="A1799" s="25" t="n">
        <v>46286</v>
      </c>
      <c r="B1799" s="26" t="s">
        <v>16</v>
      </c>
      <c r="C1799" s="26" t="s">
        <v>72</v>
      </c>
      <c r="D1799" s="26" t="s">
        <v>31</v>
      </c>
      <c r="E1799" s="26" t="n">
        <v>57</v>
      </c>
    </row>
    <row r="1800" customFormat="false" ht="15" hidden="false" customHeight="false" outlineLevel="0" collapsed="false">
      <c r="A1800" s="25" t="n">
        <v>46286</v>
      </c>
      <c r="B1800" s="26" t="s">
        <v>16</v>
      </c>
      <c r="C1800" s="26" t="s">
        <v>73</v>
      </c>
      <c r="D1800" s="26" t="s">
        <v>26</v>
      </c>
      <c r="E1800" s="26" t="n">
        <v>66</v>
      </c>
    </row>
    <row r="1801" customFormat="false" ht="15" hidden="false" customHeight="false" outlineLevel="0" collapsed="false">
      <c r="A1801" s="25" t="n">
        <v>46286</v>
      </c>
      <c r="B1801" s="26" t="s">
        <v>16</v>
      </c>
      <c r="C1801" s="26" t="s">
        <v>73</v>
      </c>
      <c r="D1801" s="26" t="s">
        <v>26</v>
      </c>
      <c r="E1801" s="26" t="n">
        <v>23</v>
      </c>
    </row>
    <row r="1802" customFormat="false" ht="15" hidden="false" customHeight="false" outlineLevel="0" collapsed="false">
      <c r="A1802" s="25" t="n">
        <v>46286</v>
      </c>
      <c r="B1802" s="26" t="s">
        <v>16</v>
      </c>
      <c r="C1802" s="26" t="s">
        <v>74</v>
      </c>
      <c r="D1802" s="26" t="s">
        <v>27</v>
      </c>
      <c r="E1802" s="26" t="n">
        <v>21</v>
      </c>
    </row>
    <row r="1803" customFormat="false" ht="15" hidden="false" customHeight="false" outlineLevel="0" collapsed="false">
      <c r="A1803" s="25" t="n">
        <v>46286</v>
      </c>
      <c r="B1803" s="26" t="s">
        <v>17</v>
      </c>
      <c r="C1803" s="26" t="s">
        <v>72</v>
      </c>
      <c r="D1803" s="26" t="s">
        <v>26</v>
      </c>
      <c r="E1803" s="26" t="n">
        <v>29</v>
      </c>
    </row>
    <row r="1804" customFormat="false" ht="15" hidden="false" customHeight="false" outlineLevel="0" collapsed="false">
      <c r="A1804" s="25" t="n">
        <v>46286</v>
      </c>
      <c r="B1804" s="26" t="s">
        <v>17</v>
      </c>
      <c r="C1804" s="26" t="s">
        <v>72</v>
      </c>
      <c r="D1804" s="26" t="s">
        <v>26</v>
      </c>
      <c r="E1804" s="26" t="n">
        <v>53</v>
      </c>
    </row>
    <row r="1805" customFormat="false" ht="15" hidden="false" customHeight="false" outlineLevel="0" collapsed="false">
      <c r="A1805" s="25" t="n">
        <v>46286</v>
      </c>
      <c r="B1805" s="26" t="s">
        <v>17</v>
      </c>
      <c r="C1805" s="26" t="s">
        <v>72</v>
      </c>
      <c r="D1805" s="26" t="s">
        <v>26</v>
      </c>
      <c r="E1805" s="26" t="n">
        <v>37</v>
      </c>
    </row>
    <row r="1806" customFormat="false" ht="15" hidden="false" customHeight="false" outlineLevel="0" collapsed="false">
      <c r="A1806" s="25" t="n">
        <v>46286</v>
      </c>
      <c r="B1806" s="26" t="s">
        <v>17</v>
      </c>
      <c r="C1806" s="26" t="s">
        <v>72</v>
      </c>
      <c r="D1806" s="26" t="s">
        <v>26</v>
      </c>
      <c r="E1806" s="26" t="n">
        <v>27</v>
      </c>
    </row>
    <row r="1807" customFormat="false" ht="15" hidden="false" customHeight="false" outlineLevel="0" collapsed="false">
      <c r="A1807" s="25" t="n">
        <v>46286</v>
      </c>
      <c r="B1807" s="26" t="s">
        <v>17</v>
      </c>
      <c r="C1807" s="26" t="s">
        <v>72</v>
      </c>
      <c r="D1807" s="26" t="s">
        <v>29</v>
      </c>
      <c r="E1807" s="26" t="n">
        <v>20</v>
      </c>
    </row>
    <row r="1808" customFormat="false" ht="15" hidden="false" customHeight="false" outlineLevel="0" collapsed="false">
      <c r="A1808" s="25" t="n">
        <v>46286</v>
      </c>
      <c r="B1808" s="26" t="s">
        <v>17</v>
      </c>
      <c r="C1808" s="26" t="s">
        <v>73</v>
      </c>
      <c r="D1808" s="26" t="s">
        <v>31</v>
      </c>
      <c r="E1808" s="26" t="n">
        <v>55</v>
      </c>
    </row>
    <row r="1809" customFormat="false" ht="15" hidden="false" customHeight="false" outlineLevel="0" collapsed="false">
      <c r="A1809" s="25" t="n">
        <v>46286</v>
      </c>
      <c r="B1809" s="26" t="s">
        <v>17</v>
      </c>
      <c r="C1809" s="26" t="s">
        <v>73</v>
      </c>
      <c r="D1809" s="26" t="s">
        <v>26</v>
      </c>
      <c r="E1809" s="26" t="n">
        <v>83</v>
      </c>
    </row>
    <row r="1810" customFormat="false" ht="15" hidden="false" customHeight="false" outlineLevel="0" collapsed="false">
      <c r="A1810" s="25" t="n">
        <v>46286</v>
      </c>
      <c r="B1810" s="26" t="s">
        <v>17</v>
      </c>
      <c r="C1810" s="26" t="s">
        <v>73</v>
      </c>
      <c r="D1810" s="26" t="s">
        <v>31</v>
      </c>
      <c r="E1810" s="26" t="n">
        <v>55</v>
      </c>
    </row>
    <row r="1811" customFormat="false" ht="15" hidden="false" customHeight="false" outlineLevel="0" collapsed="false">
      <c r="A1811" s="25" t="n">
        <v>46286</v>
      </c>
      <c r="B1811" s="26" t="s">
        <v>17</v>
      </c>
      <c r="C1811" s="26" t="s">
        <v>73</v>
      </c>
      <c r="D1811" s="26" t="s">
        <v>29</v>
      </c>
      <c r="E1811" s="26" t="n">
        <v>9</v>
      </c>
    </row>
    <row r="1812" customFormat="false" ht="15" hidden="false" customHeight="false" outlineLevel="0" collapsed="false">
      <c r="A1812" s="25" t="n">
        <v>46286</v>
      </c>
      <c r="B1812" s="26" t="s">
        <v>17</v>
      </c>
      <c r="C1812" s="26" t="s">
        <v>74</v>
      </c>
      <c r="D1812" s="26" t="s">
        <v>28</v>
      </c>
      <c r="E1812" s="26" t="n">
        <v>33</v>
      </c>
    </row>
    <row r="1813" customFormat="false" ht="15" hidden="false" customHeight="false" outlineLevel="0" collapsed="false">
      <c r="A1813" s="25" t="n">
        <v>46286</v>
      </c>
      <c r="B1813" s="26" t="s">
        <v>17</v>
      </c>
      <c r="C1813" s="26" t="s">
        <v>74</v>
      </c>
      <c r="D1813" s="26" t="s">
        <v>30</v>
      </c>
      <c r="E1813" s="26" t="n">
        <v>25</v>
      </c>
    </row>
    <row r="1814" customFormat="false" ht="15" hidden="false" customHeight="false" outlineLevel="0" collapsed="false">
      <c r="A1814" s="25" t="n">
        <v>46286</v>
      </c>
      <c r="B1814" s="26" t="s">
        <v>18</v>
      </c>
      <c r="C1814" s="26" t="s">
        <v>73</v>
      </c>
      <c r="D1814" s="26" t="s">
        <v>31</v>
      </c>
      <c r="E1814" s="26" t="n">
        <v>85</v>
      </c>
    </row>
    <row r="1815" customFormat="false" ht="15" hidden="false" customHeight="false" outlineLevel="0" collapsed="false">
      <c r="A1815" s="25" t="n">
        <v>46286</v>
      </c>
      <c r="B1815" s="26" t="s">
        <v>18</v>
      </c>
      <c r="C1815" s="26" t="s">
        <v>73</v>
      </c>
      <c r="D1815" s="26" t="s">
        <v>26</v>
      </c>
      <c r="E1815" s="26" t="n">
        <v>28</v>
      </c>
    </row>
    <row r="1816" customFormat="false" ht="15" hidden="false" customHeight="false" outlineLevel="0" collapsed="false">
      <c r="A1816" s="25" t="n">
        <v>46286</v>
      </c>
      <c r="B1816" s="26" t="s">
        <v>18</v>
      </c>
      <c r="C1816" s="26" t="s">
        <v>73</v>
      </c>
      <c r="D1816" s="26" t="s">
        <v>29</v>
      </c>
      <c r="E1816" s="26" t="n">
        <v>27</v>
      </c>
    </row>
    <row r="1817" customFormat="false" ht="15" hidden="false" customHeight="false" outlineLevel="0" collapsed="false">
      <c r="A1817" s="25" t="n">
        <v>46286</v>
      </c>
      <c r="B1817" s="26" t="s">
        <v>18</v>
      </c>
      <c r="C1817" s="26" t="s">
        <v>73</v>
      </c>
      <c r="D1817" s="26" t="s">
        <v>31</v>
      </c>
      <c r="E1817" s="26" t="n">
        <v>56</v>
      </c>
    </row>
    <row r="1818" customFormat="false" ht="15" hidden="false" customHeight="false" outlineLevel="0" collapsed="false">
      <c r="A1818" s="25" t="n">
        <v>46286</v>
      </c>
      <c r="B1818" s="26" t="s">
        <v>18</v>
      </c>
      <c r="C1818" s="26" t="s">
        <v>74</v>
      </c>
      <c r="D1818" s="26" t="s">
        <v>27</v>
      </c>
      <c r="E1818" s="26" t="n">
        <v>22</v>
      </c>
    </row>
    <row r="1819" customFormat="false" ht="15" hidden="false" customHeight="false" outlineLevel="0" collapsed="false">
      <c r="A1819" s="25" t="n">
        <v>46286</v>
      </c>
      <c r="B1819" s="26" t="s">
        <v>18</v>
      </c>
      <c r="C1819" s="26" t="s">
        <v>74</v>
      </c>
      <c r="D1819" s="26" t="s">
        <v>27</v>
      </c>
      <c r="E1819" s="26" t="n">
        <v>23</v>
      </c>
    </row>
    <row r="1820" customFormat="false" ht="15" hidden="false" customHeight="false" outlineLevel="0" collapsed="false">
      <c r="A1820" s="25" t="n">
        <v>46286</v>
      </c>
      <c r="B1820" s="26" t="s">
        <v>18</v>
      </c>
      <c r="C1820" s="26" t="s">
        <v>74</v>
      </c>
      <c r="D1820" s="26" t="s">
        <v>30</v>
      </c>
      <c r="E1820" s="26" t="n">
        <v>26</v>
      </c>
    </row>
    <row r="1821" customFormat="false" ht="15" hidden="false" customHeight="false" outlineLevel="0" collapsed="false">
      <c r="A1821" s="25" t="n">
        <v>46287</v>
      </c>
      <c r="B1821" s="26" t="s">
        <v>16</v>
      </c>
      <c r="C1821" s="26" t="s">
        <v>72</v>
      </c>
      <c r="D1821" s="26" t="s">
        <v>31</v>
      </c>
      <c r="E1821" s="26" t="n">
        <v>39</v>
      </c>
    </row>
    <row r="1822" customFormat="false" ht="15" hidden="false" customHeight="false" outlineLevel="0" collapsed="false">
      <c r="A1822" s="25" t="n">
        <v>46287</v>
      </c>
      <c r="B1822" s="26" t="s">
        <v>16</v>
      </c>
      <c r="C1822" s="26" t="s">
        <v>73</v>
      </c>
      <c r="D1822" s="26" t="s">
        <v>26</v>
      </c>
      <c r="E1822" s="26" t="n">
        <v>24</v>
      </c>
    </row>
    <row r="1823" customFormat="false" ht="15" hidden="false" customHeight="false" outlineLevel="0" collapsed="false">
      <c r="A1823" s="25" t="n">
        <v>46287</v>
      </c>
      <c r="B1823" s="26" t="s">
        <v>16</v>
      </c>
      <c r="C1823" s="26" t="s">
        <v>73</v>
      </c>
      <c r="D1823" s="26" t="s">
        <v>31</v>
      </c>
      <c r="E1823" s="26" t="n">
        <v>45</v>
      </c>
    </row>
    <row r="1824" customFormat="false" ht="15" hidden="false" customHeight="false" outlineLevel="0" collapsed="false">
      <c r="A1824" s="25" t="n">
        <v>46287</v>
      </c>
      <c r="B1824" s="26" t="s">
        <v>16</v>
      </c>
      <c r="C1824" s="26" t="s">
        <v>73</v>
      </c>
      <c r="D1824" s="26" t="s">
        <v>29</v>
      </c>
      <c r="E1824" s="26" t="n">
        <v>12</v>
      </c>
    </row>
    <row r="1825" customFormat="false" ht="15" hidden="false" customHeight="false" outlineLevel="0" collapsed="false">
      <c r="A1825" s="25" t="n">
        <v>46287</v>
      </c>
      <c r="B1825" s="26" t="s">
        <v>16</v>
      </c>
      <c r="C1825" s="26" t="s">
        <v>74</v>
      </c>
      <c r="D1825" s="26" t="s">
        <v>32</v>
      </c>
      <c r="E1825" s="26" t="n">
        <v>31</v>
      </c>
    </row>
    <row r="1826" customFormat="false" ht="15" hidden="false" customHeight="false" outlineLevel="0" collapsed="false">
      <c r="A1826" s="25" t="n">
        <v>46287</v>
      </c>
      <c r="B1826" s="26" t="s">
        <v>16</v>
      </c>
      <c r="C1826" s="26" t="s">
        <v>74</v>
      </c>
      <c r="D1826" s="26" t="s">
        <v>26</v>
      </c>
      <c r="E1826" s="26" t="n">
        <v>23</v>
      </c>
    </row>
    <row r="1827" customFormat="false" ht="15" hidden="false" customHeight="false" outlineLevel="0" collapsed="false">
      <c r="A1827" s="25" t="n">
        <v>46287</v>
      </c>
      <c r="B1827" s="26" t="s">
        <v>17</v>
      </c>
      <c r="C1827" s="26" t="s">
        <v>72</v>
      </c>
      <c r="D1827" s="26" t="s">
        <v>28</v>
      </c>
      <c r="E1827" s="26" t="n">
        <v>120</v>
      </c>
    </row>
    <row r="1828" customFormat="false" ht="15" hidden="false" customHeight="false" outlineLevel="0" collapsed="false">
      <c r="A1828" s="25" t="n">
        <v>46287</v>
      </c>
      <c r="B1828" s="26" t="s">
        <v>17</v>
      </c>
      <c r="C1828" s="26" t="s">
        <v>72</v>
      </c>
      <c r="D1828" s="26" t="s">
        <v>27</v>
      </c>
      <c r="E1828" s="26" t="n">
        <v>6</v>
      </c>
    </row>
    <row r="1829" customFormat="false" ht="15" hidden="false" customHeight="false" outlineLevel="0" collapsed="false">
      <c r="A1829" s="25" t="n">
        <v>46287</v>
      </c>
      <c r="B1829" s="26" t="s">
        <v>17</v>
      </c>
      <c r="C1829" s="26" t="s">
        <v>72</v>
      </c>
      <c r="D1829" s="26" t="s">
        <v>29</v>
      </c>
      <c r="E1829" s="26" t="n">
        <v>11</v>
      </c>
    </row>
    <row r="1830" customFormat="false" ht="15" hidden="false" customHeight="false" outlineLevel="0" collapsed="false">
      <c r="A1830" s="25" t="n">
        <v>46287</v>
      </c>
      <c r="B1830" s="26" t="s">
        <v>17</v>
      </c>
      <c r="C1830" s="26" t="s">
        <v>73</v>
      </c>
      <c r="D1830" s="26" t="s">
        <v>27</v>
      </c>
      <c r="E1830" s="26" t="n">
        <v>25</v>
      </c>
    </row>
    <row r="1831" customFormat="false" ht="15" hidden="false" customHeight="false" outlineLevel="0" collapsed="false">
      <c r="A1831" s="25" t="n">
        <v>46287</v>
      </c>
      <c r="B1831" s="26" t="s">
        <v>17</v>
      </c>
      <c r="C1831" s="26" t="s">
        <v>73</v>
      </c>
      <c r="D1831" s="26" t="s">
        <v>26</v>
      </c>
      <c r="E1831" s="26" t="n">
        <v>40</v>
      </c>
    </row>
    <row r="1832" customFormat="false" ht="15" hidden="false" customHeight="false" outlineLevel="0" collapsed="false">
      <c r="A1832" s="25" t="n">
        <v>46287</v>
      </c>
      <c r="B1832" s="26" t="s">
        <v>17</v>
      </c>
      <c r="C1832" s="26" t="s">
        <v>73</v>
      </c>
      <c r="D1832" s="26" t="s">
        <v>29</v>
      </c>
      <c r="E1832" s="26" t="n">
        <v>18</v>
      </c>
    </row>
    <row r="1833" customFormat="false" ht="15" hidden="false" customHeight="false" outlineLevel="0" collapsed="false">
      <c r="A1833" s="25" t="n">
        <v>46287</v>
      </c>
      <c r="B1833" s="26" t="s">
        <v>17</v>
      </c>
      <c r="C1833" s="26" t="s">
        <v>73</v>
      </c>
      <c r="D1833" s="26" t="s">
        <v>29</v>
      </c>
      <c r="E1833" s="26" t="n">
        <v>30</v>
      </c>
    </row>
    <row r="1834" customFormat="false" ht="15" hidden="false" customHeight="false" outlineLevel="0" collapsed="false">
      <c r="A1834" s="25" t="n">
        <v>46287</v>
      </c>
      <c r="B1834" s="26" t="s">
        <v>17</v>
      </c>
      <c r="C1834" s="26" t="s">
        <v>74</v>
      </c>
      <c r="D1834" s="26" t="s">
        <v>28</v>
      </c>
      <c r="E1834" s="26" t="n">
        <v>9</v>
      </c>
    </row>
    <row r="1835" customFormat="false" ht="15" hidden="false" customHeight="false" outlineLevel="0" collapsed="false">
      <c r="A1835" s="25" t="n">
        <v>46287</v>
      </c>
      <c r="B1835" s="26" t="s">
        <v>17</v>
      </c>
      <c r="C1835" s="26" t="s">
        <v>74</v>
      </c>
      <c r="D1835" s="26" t="s">
        <v>32</v>
      </c>
      <c r="E1835" s="26" t="n">
        <v>5</v>
      </c>
    </row>
    <row r="1836" customFormat="false" ht="15" hidden="false" customHeight="false" outlineLevel="0" collapsed="false">
      <c r="A1836" s="25" t="n">
        <v>46287</v>
      </c>
      <c r="B1836" s="26" t="s">
        <v>18</v>
      </c>
      <c r="C1836" s="26" t="s">
        <v>72</v>
      </c>
      <c r="D1836" s="26" t="s">
        <v>29</v>
      </c>
      <c r="E1836" s="26" t="n">
        <v>20</v>
      </c>
    </row>
    <row r="1837" customFormat="false" ht="15" hidden="false" customHeight="false" outlineLevel="0" collapsed="false">
      <c r="A1837" s="25" t="n">
        <v>46287</v>
      </c>
      <c r="B1837" s="26" t="s">
        <v>18</v>
      </c>
      <c r="C1837" s="26" t="s">
        <v>72</v>
      </c>
      <c r="D1837" s="26" t="s">
        <v>32</v>
      </c>
      <c r="E1837" s="26" t="n">
        <v>26</v>
      </c>
    </row>
    <row r="1838" customFormat="false" ht="15" hidden="false" customHeight="false" outlineLevel="0" collapsed="false">
      <c r="A1838" s="25" t="n">
        <v>46287</v>
      </c>
      <c r="B1838" s="26" t="s">
        <v>18</v>
      </c>
      <c r="C1838" s="26" t="s">
        <v>72</v>
      </c>
      <c r="D1838" s="26" t="s">
        <v>26</v>
      </c>
      <c r="E1838" s="26" t="n">
        <v>29</v>
      </c>
    </row>
    <row r="1839" customFormat="false" ht="15" hidden="false" customHeight="false" outlineLevel="0" collapsed="false">
      <c r="A1839" s="25" t="n">
        <v>46287</v>
      </c>
      <c r="B1839" s="26" t="s">
        <v>18</v>
      </c>
      <c r="C1839" s="26" t="s">
        <v>72</v>
      </c>
      <c r="D1839" s="26" t="s">
        <v>27</v>
      </c>
      <c r="E1839" s="26" t="n">
        <v>46</v>
      </c>
    </row>
    <row r="1840" customFormat="false" ht="15" hidden="false" customHeight="false" outlineLevel="0" collapsed="false">
      <c r="A1840" s="25" t="n">
        <v>46287</v>
      </c>
      <c r="B1840" s="26" t="s">
        <v>18</v>
      </c>
      <c r="C1840" s="26" t="s">
        <v>72</v>
      </c>
      <c r="D1840" s="26" t="s">
        <v>28</v>
      </c>
      <c r="E1840" s="26" t="n">
        <v>11</v>
      </c>
    </row>
    <row r="1841" customFormat="false" ht="15" hidden="false" customHeight="false" outlineLevel="0" collapsed="false">
      <c r="A1841" s="25" t="n">
        <v>46287</v>
      </c>
      <c r="B1841" s="26" t="s">
        <v>18</v>
      </c>
      <c r="C1841" s="26" t="s">
        <v>72</v>
      </c>
      <c r="D1841" s="26" t="s">
        <v>29</v>
      </c>
      <c r="E1841" s="26" t="n">
        <v>21</v>
      </c>
    </row>
    <row r="1842" customFormat="false" ht="15" hidden="false" customHeight="false" outlineLevel="0" collapsed="false">
      <c r="A1842" s="25" t="n">
        <v>46287</v>
      </c>
      <c r="B1842" s="26" t="s">
        <v>18</v>
      </c>
      <c r="C1842" s="26" t="s">
        <v>73</v>
      </c>
      <c r="D1842" s="26" t="s">
        <v>27</v>
      </c>
      <c r="E1842" s="26" t="n">
        <v>46</v>
      </c>
    </row>
    <row r="1843" customFormat="false" ht="15" hidden="false" customHeight="false" outlineLevel="0" collapsed="false">
      <c r="A1843" s="25" t="n">
        <v>46287</v>
      </c>
      <c r="B1843" s="26" t="s">
        <v>18</v>
      </c>
      <c r="C1843" s="26" t="s">
        <v>73</v>
      </c>
      <c r="D1843" s="26" t="s">
        <v>27</v>
      </c>
      <c r="E1843" s="26" t="n">
        <v>42</v>
      </c>
    </row>
    <row r="1844" customFormat="false" ht="15" hidden="false" customHeight="false" outlineLevel="0" collapsed="false">
      <c r="A1844" s="25" t="n">
        <v>46287</v>
      </c>
      <c r="B1844" s="26" t="s">
        <v>18</v>
      </c>
      <c r="C1844" s="26" t="s">
        <v>74</v>
      </c>
      <c r="D1844" s="26" t="s">
        <v>26</v>
      </c>
      <c r="E1844" s="26" t="n">
        <v>54</v>
      </c>
    </row>
    <row r="1845" customFormat="false" ht="15" hidden="false" customHeight="false" outlineLevel="0" collapsed="false">
      <c r="A1845" s="25" t="n">
        <v>46287</v>
      </c>
      <c r="B1845" s="26" t="s">
        <v>18</v>
      </c>
      <c r="C1845" s="26" t="s">
        <v>74</v>
      </c>
      <c r="D1845" s="26" t="s">
        <v>29</v>
      </c>
      <c r="E1845" s="26" t="n">
        <v>14</v>
      </c>
    </row>
    <row r="1846" customFormat="false" ht="15" hidden="false" customHeight="false" outlineLevel="0" collapsed="false">
      <c r="A1846" s="25" t="n">
        <v>46288</v>
      </c>
      <c r="B1846" s="26" t="s">
        <v>16</v>
      </c>
      <c r="C1846" s="26" t="s">
        <v>72</v>
      </c>
      <c r="D1846" s="26" t="s">
        <v>27</v>
      </c>
      <c r="E1846" s="26" t="n">
        <v>46</v>
      </c>
    </row>
    <row r="1847" customFormat="false" ht="15" hidden="false" customHeight="false" outlineLevel="0" collapsed="false">
      <c r="A1847" s="25" t="n">
        <v>46288</v>
      </c>
      <c r="B1847" s="26" t="s">
        <v>16</v>
      </c>
      <c r="C1847" s="26" t="s">
        <v>72</v>
      </c>
      <c r="D1847" s="26" t="s">
        <v>26</v>
      </c>
      <c r="E1847" s="26" t="n">
        <v>45</v>
      </c>
    </row>
    <row r="1848" customFormat="false" ht="15" hidden="false" customHeight="false" outlineLevel="0" collapsed="false">
      <c r="A1848" s="25" t="n">
        <v>46288</v>
      </c>
      <c r="B1848" s="26" t="s">
        <v>16</v>
      </c>
      <c r="C1848" s="26" t="s">
        <v>73</v>
      </c>
      <c r="D1848" s="26" t="s">
        <v>31</v>
      </c>
      <c r="E1848" s="26" t="n">
        <v>40</v>
      </c>
    </row>
    <row r="1849" customFormat="false" ht="15" hidden="false" customHeight="false" outlineLevel="0" collapsed="false">
      <c r="A1849" s="25" t="n">
        <v>46288</v>
      </c>
      <c r="B1849" s="26" t="s">
        <v>16</v>
      </c>
      <c r="C1849" s="26" t="s">
        <v>73</v>
      </c>
      <c r="D1849" s="26" t="s">
        <v>27</v>
      </c>
      <c r="E1849" s="26" t="n">
        <v>38</v>
      </c>
    </row>
    <row r="1850" customFormat="false" ht="15" hidden="false" customHeight="false" outlineLevel="0" collapsed="false">
      <c r="A1850" s="25" t="n">
        <v>46288</v>
      </c>
      <c r="B1850" s="26" t="s">
        <v>16</v>
      </c>
      <c r="C1850" s="26" t="s">
        <v>74</v>
      </c>
      <c r="D1850" s="26" t="s">
        <v>28</v>
      </c>
      <c r="E1850" s="26" t="n">
        <v>94</v>
      </c>
    </row>
    <row r="1851" customFormat="false" ht="15" hidden="false" customHeight="false" outlineLevel="0" collapsed="false">
      <c r="A1851" s="25" t="n">
        <v>46288</v>
      </c>
      <c r="B1851" s="26" t="s">
        <v>16</v>
      </c>
      <c r="C1851" s="26" t="s">
        <v>74</v>
      </c>
      <c r="D1851" s="26" t="s">
        <v>27</v>
      </c>
      <c r="E1851" s="26" t="n">
        <v>7</v>
      </c>
    </row>
    <row r="1852" customFormat="false" ht="15" hidden="false" customHeight="false" outlineLevel="0" collapsed="false">
      <c r="A1852" s="25" t="n">
        <v>46288</v>
      </c>
      <c r="B1852" s="26" t="s">
        <v>16</v>
      </c>
      <c r="C1852" s="26" t="s">
        <v>74</v>
      </c>
      <c r="D1852" s="26" t="s">
        <v>27</v>
      </c>
      <c r="E1852" s="26" t="n">
        <v>24</v>
      </c>
    </row>
    <row r="1853" customFormat="false" ht="15" hidden="false" customHeight="false" outlineLevel="0" collapsed="false">
      <c r="A1853" s="25" t="n">
        <v>46288</v>
      </c>
      <c r="B1853" s="26" t="s">
        <v>16</v>
      </c>
      <c r="C1853" s="26" t="s">
        <v>74</v>
      </c>
      <c r="D1853" s="26" t="s">
        <v>26</v>
      </c>
      <c r="E1853" s="26" t="n">
        <v>68</v>
      </c>
    </row>
    <row r="1854" customFormat="false" ht="15" hidden="false" customHeight="false" outlineLevel="0" collapsed="false">
      <c r="A1854" s="25" t="n">
        <v>46288</v>
      </c>
      <c r="B1854" s="26" t="s">
        <v>17</v>
      </c>
      <c r="C1854" s="26" t="s">
        <v>72</v>
      </c>
      <c r="D1854" s="26" t="s">
        <v>26</v>
      </c>
      <c r="E1854" s="26" t="n">
        <v>57</v>
      </c>
    </row>
    <row r="1855" customFormat="false" ht="15" hidden="false" customHeight="false" outlineLevel="0" collapsed="false">
      <c r="A1855" s="25" t="n">
        <v>46288</v>
      </c>
      <c r="B1855" s="26" t="s">
        <v>17</v>
      </c>
      <c r="C1855" s="26" t="s">
        <v>72</v>
      </c>
      <c r="D1855" s="26" t="s">
        <v>28</v>
      </c>
      <c r="E1855" s="26" t="n">
        <v>76</v>
      </c>
    </row>
    <row r="1856" customFormat="false" ht="15" hidden="false" customHeight="false" outlineLevel="0" collapsed="false">
      <c r="A1856" s="25" t="n">
        <v>46288</v>
      </c>
      <c r="B1856" s="26" t="s">
        <v>17</v>
      </c>
      <c r="C1856" s="26" t="s">
        <v>72</v>
      </c>
      <c r="D1856" s="26" t="s">
        <v>28</v>
      </c>
      <c r="E1856" s="26" t="n">
        <v>5</v>
      </c>
    </row>
    <row r="1857" customFormat="false" ht="15" hidden="false" customHeight="false" outlineLevel="0" collapsed="false">
      <c r="A1857" s="25" t="n">
        <v>46288</v>
      </c>
      <c r="B1857" s="26" t="s">
        <v>17</v>
      </c>
      <c r="C1857" s="26" t="s">
        <v>73</v>
      </c>
      <c r="D1857" s="26" t="s">
        <v>26</v>
      </c>
      <c r="E1857" s="26" t="n">
        <v>23</v>
      </c>
    </row>
    <row r="1858" customFormat="false" ht="15" hidden="false" customHeight="false" outlineLevel="0" collapsed="false">
      <c r="A1858" s="25" t="n">
        <v>46288</v>
      </c>
      <c r="B1858" s="26" t="s">
        <v>17</v>
      </c>
      <c r="C1858" s="26" t="s">
        <v>73</v>
      </c>
      <c r="D1858" s="26" t="s">
        <v>26</v>
      </c>
      <c r="E1858" s="26" t="n">
        <v>34</v>
      </c>
    </row>
    <row r="1859" customFormat="false" ht="15" hidden="false" customHeight="false" outlineLevel="0" collapsed="false">
      <c r="A1859" s="25" t="n">
        <v>46288</v>
      </c>
      <c r="B1859" s="26" t="s">
        <v>17</v>
      </c>
      <c r="C1859" s="26" t="s">
        <v>73</v>
      </c>
      <c r="D1859" s="26" t="s">
        <v>28</v>
      </c>
      <c r="E1859" s="26" t="n">
        <v>94</v>
      </c>
    </row>
    <row r="1860" customFormat="false" ht="15" hidden="false" customHeight="false" outlineLevel="0" collapsed="false">
      <c r="A1860" s="25" t="n">
        <v>46288</v>
      </c>
      <c r="B1860" s="26" t="s">
        <v>17</v>
      </c>
      <c r="C1860" s="26" t="s">
        <v>73</v>
      </c>
      <c r="D1860" s="26" t="s">
        <v>30</v>
      </c>
      <c r="E1860" s="26" t="n">
        <v>21</v>
      </c>
    </row>
    <row r="1861" customFormat="false" ht="15" hidden="false" customHeight="false" outlineLevel="0" collapsed="false">
      <c r="A1861" s="25" t="n">
        <v>46288</v>
      </c>
      <c r="B1861" s="26" t="s">
        <v>17</v>
      </c>
      <c r="C1861" s="26" t="s">
        <v>74</v>
      </c>
      <c r="D1861" s="26" t="s">
        <v>31</v>
      </c>
      <c r="E1861" s="26" t="n">
        <v>56</v>
      </c>
    </row>
    <row r="1862" customFormat="false" ht="15" hidden="false" customHeight="false" outlineLevel="0" collapsed="false">
      <c r="A1862" s="25" t="n">
        <v>46288</v>
      </c>
      <c r="B1862" s="26" t="s">
        <v>17</v>
      </c>
      <c r="C1862" s="26" t="s">
        <v>74</v>
      </c>
      <c r="D1862" s="26" t="s">
        <v>30</v>
      </c>
      <c r="E1862" s="26" t="n">
        <v>35</v>
      </c>
    </row>
    <row r="1863" customFormat="false" ht="15" hidden="false" customHeight="false" outlineLevel="0" collapsed="false">
      <c r="A1863" s="25" t="n">
        <v>46288</v>
      </c>
      <c r="B1863" s="26" t="s">
        <v>17</v>
      </c>
      <c r="C1863" s="26" t="s">
        <v>74</v>
      </c>
      <c r="D1863" s="26" t="s">
        <v>30</v>
      </c>
      <c r="E1863" s="26" t="n">
        <v>29</v>
      </c>
    </row>
    <row r="1864" customFormat="false" ht="15" hidden="false" customHeight="false" outlineLevel="0" collapsed="false">
      <c r="A1864" s="25" t="n">
        <v>46288</v>
      </c>
      <c r="B1864" s="26" t="s">
        <v>18</v>
      </c>
      <c r="C1864" s="26" t="s">
        <v>72</v>
      </c>
      <c r="D1864" s="26" t="s">
        <v>26</v>
      </c>
      <c r="E1864" s="26" t="n">
        <v>12</v>
      </c>
    </row>
    <row r="1865" customFormat="false" ht="15" hidden="false" customHeight="false" outlineLevel="0" collapsed="false">
      <c r="A1865" s="25" t="n">
        <v>46288</v>
      </c>
      <c r="B1865" s="26" t="s">
        <v>18</v>
      </c>
      <c r="C1865" s="26" t="s">
        <v>73</v>
      </c>
      <c r="D1865" s="26" t="s">
        <v>26</v>
      </c>
      <c r="E1865" s="26" t="n">
        <v>22</v>
      </c>
    </row>
    <row r="1866" customFormat="false" ht="15" hidden="false" customHeight="false" outlineLevel="0" collapsed="false">
      <c r="A1866" s="25" t="n">
        <v>46288</v>
      </c>
      <c r="B1866" s="26" t="s">
        <v>18</v>
      </c>
      <c r="C1866" s="26" t="s">
        <v>74</v>
      </c>
      <c r="D1866" s="26" t="s">
        <v>29</v>
      </c>
      <c r="E1866" s="26" t="n">
        <v>10</v>
      </c>
    </row>
    <row r="1867" customFormat="false" ht="15" hidden="false" customHeight="false" outlineLevel="0" collapsed="false">
      <c r="A1867" s="25" t="n">
        <v>46289</v>
      </c>
      <c r="B1867" s="26" t="s">
        <v>16</v>
      </c>
      <c r="C1867" s="26" t="s">
        <v>72</v>
      </c>
      <c r="D1867" s="26" t="s">
        <v>30</v>
      </c>
      <c r="E1867" s="26" t="n">
        <v>46</v>
      </c>
    </row>
    <row r="1868" customFormat="false" ht="15" hidden="false" customHeight="false" outlineLevel="0" collapsed="false">
      <c r="A1868" s="25" t="n">
        <v>46289</v>
      </c>
      <c r="B1868" s="26" t="s">
        <v>16</v>
      </c>
      <c r="C1868" s="26" t="s">
        <v>72</v>
      </c>
      <c r="D1868" s="26" t="s">
        <v>30</v>
      </c>
      <c r="E1868" s="26" t="n">
        <v>20</v>
      </c>
    </row>
    <row r="1869" customFormat="false" ht="15" hidden="false" customHeight="false" outlineLevel="0" collapsed="false">
      <c r="A1869" s="25" t="n">
        <v>46289</v>
      </c>
      <c r="B1869" s="26" t="s">
        <v>16</v>
      </c>
      <c r="C1869" s="26" t="s">
        <v>73</v>
      </c>
      <c r="D1869" s="26" t="s">
        <v>30</v>
      </c>
      <c r="E1869" s="26" t="n">
        <v>17</v>
      </c>
    </row>
    <row r="1870" customFormat="false" ht="15" hidden="false" customHeight="false" outlineLevel="0" collapsed="false">
      <c r="A1870" s="25" t="n">
        <v>46289</v>
      </c>
      <c r="B1870" s="26" t="s">
        <v>16</v>
      </c>
      <c r="C1870" s="26" t="s">
        <v>73</v>
      </c>
      <c r="D1870" s="26" t="s">
        <v>27</v>
      </c>
      <c r="E1870" s="26" t="n">
        <v>26</v>
      </c>
    </row>
    <row r="1871" customFormat="false" ht="15" hidden="false" customHeight="false" outlineLevel="0" collapsed="false">
      <c r="A1871" s="25" t="n">
        <v>46289</v>
      </c>
      <c r="B1871" s="26" t="s">
        <v>16</v>
      </c>
      <c r="C1871" s="26" t="s">
        <v>73</v>
      </c>
      <c r="D1871" s="26" t="s">
        <v>27</v>
      </c>
      <c r="E1871" s="26" t="n">
        <v>38</v>
      </c>
    </row>
    <row r="1872" customFormat="false" ht="15" hidden="false" customHeight="false" outlineLevel="0" collapsed="false">
      <c r="A1872" s="25" t="n">
        <v>46289</v>
      </c>
      <c r="B1872" s="26" t="s">
        <v>16</v>
      </c>
      <c r="C1872" s="26" t="s">
        <v>74</v>
      </c>
      <c r="D1872" s="26" t="s">
        <v>32</v>
      </c>
      <c r="E1872" s="26" t="n">
        <v>17</v>
      </c>
    </row>
    <row r="1873" customFormat="false" ht="15" hidden="false" customHeight="false" outlineLevel="0" collapsed="false">
      <c r="A1873" s="25" t="n">
        <v>46289</v>
      </c>
      <c r="B1873" s="26" t="s">
        <v>16</v>
      </c>
      <c r="C1873" s="26" t="s">
        <v>74</v>
      </c>
      <c r="D1873" s="26" t="s">
        <v>26</v>
      </c>
      <c r="E1873" s="26" t="n">
        <v>48</v>
      </c>
    </row>
    <row r="1874" customFormat="false" ht="15" hidden="false" customHeight="false" outlineLevel="0" collapsed="false">
      <c r="A1874" s="25" t="n">
        <v>46289</v>
      </c>
      <c r="B1874" s="26" t="s">
        <v>16</v>
      </c>
      <c r="C1874" s="26" t="s">
        <v>74</v>
      </c>
      <c r="D1874" s="26" t="s">
        <v>27</v>
      </c>
      <c r="E1874" s="26" t="n">
        <v>39</v>
      </c>
    </row>
    <row r="1875" customFormat="false" ht="15" hidden="false" customHeight="false" outlineLevel="0" collapsed="false">
      <c r="A1875" s="25" t="n">
        <v>46289</v>
      </c>
      <c r="B1875" s="26" t="s">
        <v>16</v>
      </c>
      <c r="C1875" s="26" t="s">
        <v>74</v>
      </c>
      <c r="D1875" s="26" t="s">
        <v>29</v>
      </c>
      <c r="E1875" s="26" t="n">
        <v>31</v>
      </c>
    </row>
    <row r="1876" customFormat="false" ht="15" hidden="false" customHeight="false" outlineLevel="0" collapsed="false">
      <c r="A1876" s="25" t="n">
        <v>46289</v>
      </c>
      <c r="B1876" s="26" t="s">
        <v>17</v>
      </c>
      <c r="C1876" s="26" t="s">
        <v>72</v>
      </c>
      <c r="D1876" s="26" t="s">
        <v>29</v>
      </c>
      <c r="E1876" s="26" t="n">
        <v>27</v>
      </c>
    </row>
    <row r="1877" customFormat="false" ht="15" hidden="false" customHeight="false" outlineLevel="0" collapsed="false">
      <c r="A1877" s="25" t="n">
        <v>46289</v>
      </c>
      <c r="B1877" s="26" t="s">
        <v>17</v>
      </c>
      <c r="C1877" s="26" t="s">
        <v>72</v>
      </c>
      <c r="D1877" s="26" t="s">
        <v>26</v>
      </c>
      <c r="E1877" s="26" t="n">
        <v>34</v>
      </c>
    </row>
    <row r="1878" customFormat="false" ht="15" hidden="false" customHeight="false" outlineLevel="0" collapsed="false">
      <c r="A1878" s="25" t="n">
        <v>46289</v>
      </c>
      <c r="B1878" s="26" t="s">
        <v>17</v>
      </c>
      <c r="C1878" s="26" t="s">
        <v>72</v>
      </c>
      <c r="D1878" s="26" t="s">
        <v>26</v>
      </c>
      <c r="E1878" s="26" t="n">
        <v>44</v>
      </c>
    </row>
    <row r="1879" customFormat="false" ht="15" hidden="false" customHeight="false" outlineLevel="0" collapsed="false">
      <c r="A1879" s="25" t="n">
        <v>46289</v>
      </c>
      <c r="B1879" s="26" t="s">
        <v>17</v>
      </c>
      <c r="C1879" s="26" t="s">
        <v>72</v>
      </c>
      <c r="D1879" s="26" t="s">
        <v>26</v>
      </c>
      <c r="E1879" s="26" t="n">
        <v>42</v>
      </c>
    </row>
    <row r="1880" customFormat="false" ht="15" hidden="false" customHeight="false" outlineLevel="0" collapsed="false">
      <c r="A1880" s="25" t="n">
        <v>46289</v>
      </c>
      <c r="B1880" s="26" t="s">
        <v>17</v>
      </c>
      <c r="C1880" s="26" t="s">
        <v>73</v>
      </c>
      <c r="D1880" s="26" t="s">
        <v>27</v>
      </c>
      <c r="E1880" s="26" t="n">
        <v>25</v>
      </c>
    </row>
    <row r="1881" customFormat="false" ht="15" hidden="false" customHeight="false" outlineLevel="0" collapsed="false">
      <c r="A1881" s="25" t="n">
        <v>46289</v>
      </c>
      <c r="B1881" s="26" t="s">
        <v>17</v>
      </c>
      <c r="C1881" s="26" t="s">
        <v>73</v>
      </c>
      <c r="D1881" s="26" t="s">
        <v>26</v>
      </c>
      <c r="E1881" s="26" t="n">
        <v>26</v>
      </c>
    </row>
    <row r="1882" customFormat="false" ht="15" hidden="false" customHeight="false" outlineLevel="0" collapsed="false">
      <c r="A1882" s="25" t="n">
        <v>46289</v>
      </c>
      <c r="B1882" s="26" t="s">
        <v>17</v>
      </c>
      <c r="C1882" s="26" t="s">
        <v>74</v>
      </c>
      <c r="D1882" s="26" t="s">
        <v>26</v>
      </c>
      <c r="E1882" s="26" t="n">
        <v>34</v>
      </c>
    </row>
    <row r="1883" customFormat="false" ht="15" hidden="false" customHeight="false" outlineLevel="0" collapsed="false">
      <c r="A1883" s="25" t="n">
        <v>46289</v>
      </c>
      <c r="B1883" s="26" t="s">
        <v>17</v>
      </c>
      <c r="C1883" s="26" t="s">
        <v>74</v>
      </c>
      <c r="D1883" s="26" t="s">
        <v>28</v>
      </c>
      <c r="E1883" s="26" t="n">
        <v>16</v>
      </c>
    </row>
    <row r="1884" customFormat="false" ht="15" hidden="false" customHeight="false" outlineLevel="0" collapsed="false">
      <c r="A1884" s="25" t="n">
        <v>46289</v>
      </c>
      <c r="B1884" s="26" t="s">
        <v>17</v>
      </c>
      <c r="C1884" s="26" t="s">
        <v>74</v>
      </c>
      <c r="D1884" s="26" t="s">
        <v>32</v>
      </c>
      <c r="E1884" s="26" t="n">
        <v>5</v>
      </c>
    </row>
    <row r="1885" customFormat="false" ht="15" hidden="false" customHeight="false" outlineLevel="0" collapsed="false">
      <c r="A1885" s="25" t="n">
        <v>46289</v>
      </c>
      <c r="B1885" s="26" t="s">
        <v>18</v>
      </c>
      <c r="C1885" s="26" t="s">
        <v>72</v>
      </c>
      <c r="D1885" s="26" t="s">
        <v>32</v>
      </c>
      <c r="E1885" s="26" t="n">
        <v>13</v>
      </c>
    </row>
    <row r="1886" customFormat="false" ht="15" hidden="false" customHeight="false" outlineLevel="0" collapsed="false">
      <c r="A1886" s="25" t="n">
        <v>46289</v>
      </c>
      <c r="B1886" s="26" t="s">
        <v>18</v>
      </c>
      <c r="C1886" s="26" t="s">
        <v>72</v>
      </c>
      <c r="D1886" s="26" t="s">
        <v>30</v>
      </c>
      <c r="E1886" s="26" t="n">
        <v>30</v>
      </c>
    </row>
    <row r="1887" customFormat="false" ht="15" hidden="false" customHeight="false" outlineLevel="0" collapsed="false">
      <c r="A1887" s="25" t="n">
        <v>46289</v>
      </c>
      <c r="B1887" s="26" t="s">
        <v>18</v>
      </c>
      <c r="C1887" s="26" t="s">
        <v>72</v>
      </c>
      <c r="D1887" s="26" t="s">
        <v>30</v>
      </c>
      <c r="E1887" s="26" t="n">
        <v>32</v>
      </c>
    </row>
    <row r="1888" customFormat="false" ht="15" hidden="false" customHeight="false" outlineLevel="0" collapsed="false">
      <c r="A1888" s="25" t="n">
        <v>46289</v>
      </c>
      <c r="B1888" s="26" t="s">
        <v>18</v>
      </c>
      <c r="C1888" s="26" t="s">
        <v>73</v>
      </c>
      <c r="D1888" s="26" t="s">
        <v>31</v>
      </c>
      <c r="E1888" s="26" t="n">
        <v>50</v>
      </c>
    </row>
    <row r="1889" customFormat="false" ht="15" hidden="false" customHeight="false" outlineLevel="0" collapsed="false">
      <c r="A1889" s="25" t="n">
        <v>46289</v>
      </c>
      <c r="B1889" s="26" t="s">
        <v>18</v>
      </c>
      <c r="C1889" s="26" t="s">
        <v>73</v>
      </c>
      <c r="D1889" s="26" t="s">
        <v>29</v>
      </c>
      <c r="E1889" s="26" t="n">
        <v>13</v>
      </c>
    </row>
    <row r="1890" customFormat="false" ht="15" hidden="false" customHeight="false" outlineLevel="0" collapsed="false">
      <c r="A1890" s="25" t="n">
        <v>46289</v>
      </c>
      <c r="B1890" s="26" t="s">
        <v>18</v>
      </c>
      <c r="C1890" s="26" t="s">
        <v>74</v>
      </c>
      <c r="D1890" s="26" t="s">
        <v>28</v>
      </c>
      <c r="E1890" s="26" t="n">
        <v>28</v>
      </c>
    </row>
    <row r="1891" customFormat="false" ht="15" hidden="false" customHeight="false" outlineLevel="0" collapsed="false">
      <c r="A1891" s="25" t="n">
        <v>46289</v>
      </c>
      <c r="B1891" s="26" t="s">
        <v>18</v>
      </c>
      <c r="C1891" s="26" t="s">
        <v>74</v>
      </c>
      <c r="D1891" s="26" t="s">
        <v>27</v>
      </c>
      <c r="E1891" s="26" t="n">
        <v>38</v>
      </c>
    </row>
    <row r="1892" customFormat="false" ht="15" hidden="false" customHeight="false" outlineLevel="0" collapsed="false">
      <c r="A1892" s="25" t="n">
        <v>46289</v>
      </c>
      <c r="B1892" s="26" t="s">
        <v>18</v>
      </c>
      <c r="C1892" s="26" t="s">
        <v>74</v>
      </c>
      <c r="D1892" s="26" t="s">
        <v>30</v>
      </c>
      <c r="E1892" s="26" t="n">
        <v>29</v>
      </c>
    </row>
    <row r="1893" customFormat="false" ht="15" hidden="false" customHeight="false" outlineLevel="0" collapsed="false">
      <c r="A1893" s="25" t="n">
        <v>46290</v>
      </c>
      <c r="B1893" s="26" t="s">
        <v>16</v>
      </c>
      <c r="C1893" s="26" t="s">
        <v>72</v>
      </c>
      <c r="D1893" s="26" t="s">
        <v>29</v>
      </c>
      <c r="E1893" s="26" t="n">
        <v>36</v>
      </c>
    </row>
    <row r="1894" customFormat="false" ht="15" hidden="false" customHeight="false" outlineLevel="0" collapsed="false">
      <c r="A1894" s="25" t="n">
        <v>46290</v>
      </c>
      <c r="B1894" s="26" t="s">
        <v>16</v>
      </c>
      <c r="C1894" s="26" t="s">
        <v>72</v>
      </c>
      <c r="D1894" s="26" t="s">
        <v>27</v>
      </c>
      <c r="E1894" s="26" t="n">
        <v>41</v>
      </c>
    </row>
    <row r="1895" customFormat="false" ht="15" hidden="false" customHeight="false" outlineLevel="0" collapsed="false">
      <c r="A1895" s="25" t="n">
        <v>46290</v>
      </c>
      <c r="B1895" s="26" t="s">
        <v>16</v>
      </c>
      <c r="C1895" s="26" t="s">
        <v>72</v>
      </c>
      <c r="D1895" s="26" t="s">
        <v>29</v>
      </c>
      <c r="E1895" s="26" t="n">
        <v>41</v>
      </c>
    </row>
    <row r="1896" customFormat="false" ht="15" hidden="false" customHeight="false" outlineLevel="0" collapsed="false">
      <c r="A1896" s="25" t="n">
        <v>46290</v>
      </c>
      <c r="B1896" s="26" t="s">
        <v>16</v>
      </c>
      <c r="C1896" s="26" t="s">
        <v>73</v>
      </c>
      <c r="D1896" s="26" t="s">
        <v>26</v>
      </c>
      <c r="E1896" s="26" t="n">
        <v>37</v>
      </c>
    </row>
    <row r="1897" customFormat="false" ht="15" hidden="false" customHeight="false" outlineLevel="0" collapsed="false">
      <c r="A1897" s="25" t="n">
        <v>46290</v>
      </c>
      <c r="B1897" s="26" t="s">
        <v>16</v>
      </c>
      <c r="C1897" s="26" t="s">
        <v>73</v>
      </c>
      <c r="D1897" s="26" t="s">
        <v>27</v>
      </c>
      <c r="E1897" s="26" t="n">
        <v>25</v>
      </c>
    </row>
    <row r="1898" customFormat="false" ht="15" hidden="false" customHeight="false" outlineLevel="0" collapsed="false">
      <c r="A1898" s="25" t="n">
        <v>46290</v>
      </c>
      <c r="B1898" s="26" t="s">
        <v>16</v>
      </c>
      <c r="C1898" s="26" t="s">
        <v>73</v>
      </c>
      <c r="D1898" s="26" t="s">
        <v>29</v>
      </c>
      <c r="E1898" s="26" t="n">
        <v>22</v>
      </c>
    </row>
    <row r="1899" customFormat="false" ht="15" hidden="false" customHeight="false" outlineLevel="0" collapsed="false">
      <c r="A1899" s="25" t="n">
        <v>46290</v>
      </c>
      <c r="B1899" s="26" t="s">
        <v>17</v>
      </c>
      <c r="C1899" s="26" t="s">
        <v>72</v>
      </c>
      <c r="D1899" s="26" t="s">
        <v>28</v>
      </c>
      <c r="E1899" s="26" t="n">
        <v>31</v>
      </c>
    </row>
    <row r="1900" customFormat="false" ht="15" hidden="false" customHeight="false" outlineLevel="0" collapsed="false">
      <c r="A1900" s="25" t="n">
        <v>46290</v>
      </c>
      <c r="B1900" s="26" t="s">
        <v>17</v>
      </c>
      <c r="C1900" s="26" t="s">
        <v>72</v>
      </c>
      <c r="D1900" s="26" t="s">
        <v>26</v>
      </c>
      <c r="E1900" s="26" t="n">
        <v>25</v>
      </c>
    </row>
    <row r="1901" customFormat="false" ht="15" hidden="false" customHeight="false" outlineLevel="0" collapsed="false">
      <c r="A1901" s="25" t="n">
        <v>46290</v>
      </c>
      <c r="B1901" s="26" t="s">
        <v>17</v>
      </c>
      <c r="C1901" s="26" t="s">
        <v>72</v>
      </c>
      <c r="D1901" s="26" t="s">
        <v>26</v>
      </c>
      <c r="E1901" s="26" t="n">
        <v>36</v>
      </c>
    </row>
    <row r="1902" customFormat="false" ht="15" hidden="false" customHeight="false" outlineLevel="0" collapsed="false">
      <c r="A1902" s="25" t="n">
        <v>46290</v>
      </c>
      <c r="B1902" s="26" t="s">
        <v>17</v>
      </c>
      <c r="C1902" s="26" t="s">
        <v>72</v>
      </c>
      <c r="D1902" s="26" t="s">
        <v>31</v>
      </c>
      <c r="E1902" s="26" t="n">
        <v>51</v>
      </c>
    </row>
    <row r="1903" customFormat="false" ht="15" hidden="false" customHeight="false" outlineLevel="0" collapsed="false">
      <c r="A1903" s="25" t="n">
        <v>46290</v>
      </c>
      <c r="B1903" s="26" t="s">
        <v>17</v>
      </c>
      <c r="C1903" s="26" t="s">
        <v>74</v>
      </c>
      <c r="D1903" s="26" t="s">
        <v>26</v>
      </c>
      <c r="E1903" s="26" t="n">
        <v>71</v>
      </c>
    </row>
    <row r="1904" customFormat="false" ht="15" hidden="false" customHeight="false" outlineLevel="0" collapsed="false">
      <c r="A1904" s="25" t="n">
        <v>46290</v>
      </c>
      <c r="B1904" s="26" t="s">
        <v>18</v>
      </c>
      <c r="C1904" s="26" t="s">
        <v>72</v>
      </c>
      <c r="D1904" s="26" t="s">
        <v>32</v>
      </c>
      <c r="E1904" s="26" t="n">
        <v>20</v>
      </c>
    </row>
    <row r="1905" customFormat="false" ht="15" hidden="false" customHeight="false" outlineLevel="0" collapsed="false">
      <c r="A1905" s="25" t="n">
        <v>46290</v>
      </c>
      <c r="B1905" s="26" t="s">
        <v>18</v>
      </c>
      <c r="C1905" s="26" t="s">
        <v>72</v>
      </c>
      <c r="D1905" s="26" t="s">
        <v>29</v>
      </c>
      <c r="E1905" s="26" t="n">
        <v>15</v>
      </c>
    </row>
    <row r="1906" customFormat="false" ht="15" hidden="false" customHeight="false" outlineLevel="0" collapsed="false">
      <c r="A1906" s="25" t="n">
        <v>46290</v>
      </c>
      <c r="B1906" s="26" t="s">
        <v>18</v>
      </c>
      <c r="C1906" s="26" t="s">
        <v>72</v>
      </c>
      <c r="D1906" s="26" t="s">
        <v>31</v>
      </c>
      <c r="E1906" s="26" t="n">
        <v>88</v>
      </c>
    </row>
    <row r="1907" customFormat="false" ht="15" hidden="false" customHeight="false" outlineLevel="0" collapsed="false">
      <c r="A1907" s="25" t="n">
        <v>46290</v>
      </c>
      <c r="B1907" s="26" t="s">
        <v>18</v>
      </c>
      <c r="C1907" s="26" t="s">
        <v>73</v>
      </c>
      <c r="D1907" s="26" t="s">
        <v>27</v>
      </c>
      <c r="E1907" s="26" t="n">
        <v>34</v>
      </c>
    </row>
    <row r="1908" customFormat="false" ht="15" hidden="false" customHeight="false" outlineLevel="0" collapsed="false">
      <c r="A1908" s="25" t="n">
        <v>46290</v>
      </c>
      <c r="B1908" s="26" t="s">
        <v>18</v>
      </c>
      <c r="C1908" s="26" t="s">
        <v>73</v>
      </c>
      <c r="D1908" s="26" t="s">
        <v>28</v>
      </c>
      <c r="E1908" s="26" t="n">
        <v>120</v>
      </c>
    </row>
    <row r="1909" customFormat="false" ht="15" hidden="false" customHeight="false" outlineLevel="0" collapsed="false">
      <c r="A1909" s="25" t="n">
        <v>46290</v>
      </c>
      <c r="B1909" s="26" t="s">
        <v>18</v>
      </c>
      <c r="C1909" s="26" t="s">
        <v>74</v>
      </c>
      <c r="D1909" s="26" t="s">
        <v>27</v>
      </c>
      <c r="E1909" s="26" t="n">
        <v>35</v>
      </c>
    </row>
    <row r="1910" customFormat="false" ht="15" hidden="false" customHeight="false" outlineLevel="0" collapsed="false">
      <c r="A1910" s="25" t="n">
        <v>46290</v>
      </c>
      <c r="B1910" s="26" t="s">
        <v>18</v>
      </c>
      <c r="C1910" s="26" t="s">
        <v>74</v>
      </c>
      <c r="D1910" s="26" t="s">
        <v>26</v>
      </c>
      <c r="E1910" s="26" t="n">
        <v>27</v>
      </c>
    </row>
    <row r="1911" customFormat="false" ht="15" hidden="false" customHeight="false" outlineLevel="0" collapsed="false">
      <c r="A1911" s="25" t="n">
        <v>46290</v>
      </c>
      <c r="B1911" s="26" t="s">
        <v>18</v>
      </c>
      <c r="C1911" s="26" t="s">
        <v>74</v>
      </c>
      <c r="D1911" s="26" t="s">
        <v>27</v>
      </c>
      <c r="E1911" s="26" t="n">
        <v>24</v>
      </c>
    </row>
    <row r="1912" customFormat="false" ht="15" hidden="false" customHeight="false" outlineLevel="0" collapsed="false">
      <c r="A1912" s="25" t="n">
        <v>46290</v>
      </c>
      <c r="B1912" s="26" t="s">
        <v>18</v>
      </c>
      <c r="C1912" s="26" t="s">
        <v>74</v>
      </c>
      <c r="D1912" s="26" t="s">
        <v>27</v>
      </c>
      <c r="E1912" s="26" t="n">
        <v>44</v>
      </c>
    </row>
    <row r="1913" customFormat="false" ht="15" hidden="false" customHeight="false" outlineLevel="0" collapsed="false">
      <c r="A1913" s="25" t="n">
        <v>46291</v>
      </c>
      <c r="B1913" s="26" t="s">
        <v>16</v>
      </c>
      <c r="C1913" s="26" t="s">
        <v>72</v>
      </c>
      <c r="D1913" s="26" t="s">
        <v>27</v>
      </c>
      <c r="E1913" s="26" t="n">
        <v>18</v>
      </c>
    </row>
    <row r="1914" customFormat="false" ht="15" hidden="false" customHeight="false" outlineLevel="0" collapsed="false">
      <c r="A1914" s="25" t="n">
        <v>46291</v>
      </c>
      <c r="B1914" s="26" t="s">
        <v>16</v>
      </c>
      <c r="C1914" s="26" t="s">
        <v>72</v>
      </c>
      <c r="D1914" s="26" t="s">
        <v>32</v>
      </c>
      <c r="E1914" s="26" t="n">
        <v>9</v>
      </c>
    </row>
    <row r="1915" customFormat="false" ht="15" hidden="false" customHeight="false" outlineLevel="0" collapsed="false">
      <c r="A1915" s="25" t="n">
        <v>46291</v>
      </c>
      <c r="B1915" s="26" t="s">
        <v>16</v>
      </c>
      <c r="C1915" s="26" t="s">
        <v>72</v>
      </c>
      <c r="D1915" s="26" t="s">
        <v>31</v>
      </c>
      <c r="E1915" s="26" t="n">
        <v>42</v>
      </c>
    </row>
    <row r="1916" customFormat="false" ht="15" hidden="false" customHeight="false" outlineLevel="0" collapsed="false">
      <c r="A1916" s="25" t="n">
        <v>46291</v>
      </c>
      <c r="B1916" s="26" t="s">
        <v>16</v>
      </c>
      <c r="C1916" s="26" t="s">
        <v>73</v>
      </c>
      <c r="D1916" s="26" t="s">
        <v>27</v>
      </c>
      <c r="E1916" s="26" t="n">
        <v>21</v>
      </c>
    </row>
    <row r="1917" customFormat="false" ht="15" hidden="false" customHeight="false" outlineLevel="0" collapsed="false">
      <c r="A1917" s="25" t="n">
        <v>46291</v>
      </c>
      <c r="B1917" s="26" t="s">
        <v>16</v>
      </c>
      <c r="C1917" s="26" t="s">
        <v>73</v>
      </c>
      <c r="D1917" s="26" t="s">
        <v>26</v>
      </c>
      <c r="E1917" s="26" t="n">
        <v>57</v>
      </c>
    </row>
    <row r="1918" customFormat="false" ht="15" hidden="false" customHeight="false" outlineLevel="0" collapsed="false">
      <c r="A1918" s="25" t="n">
        <v>46291</v>
      </c>
      <c r="B1918" s="26" t="s">
        <v>16</v>
      </c>
      <c r="C1918" s="26" t="s">
        <v>73</v>
      </c>
      <c r="D1918" s="26" t="s">
        <v>29</v>
      </c>
      <c r="E1918" s="26" t="n">
        <v>21</v>
      </c>
    </row>
    <row r="1919" customFormat="false" ht="15" hidden="false" customHeight="false" outlineLevel="0" collapsed="false">
      <c r="A1919" s="25" t="n">
        <v>46291</v>
      </c>
      <c r="B1919" s="26" t="s">
        <v>16</v>
      </c>
      <c r="C1919" s="26" t="s">
        <v>73</v>
      </c>
      <c r="D1919" s="26" t="s">
        <v>27</v>
      </c>
      <c r="E1919" s="26" t="n">
        <v>38</v>
      </c>
    </row>
    <row r="1920" customFormat="false" ht="15" hidden="false" customHeight="false" outlineLevel="0" collapsed="false">
      <c r="A1920" s="25" t="n">
        <v>46291</v>
      </c>
      <c r="B1920" s="26" t="s">
        <v>16</v>
      </c>
      <c r="C1920" s="26" t="s">
        <v>74</v>
      </c>
      <c r="D1920" s="26" t="s">
        <v>32</v>
      </c>
      <c r="E1920" s="26" t="n">
        <v>10</v>
      </c>
    </row>
    <row r="1921" customFormat="false" ht="15" hidden="false" customHeight="false" outlineLevel="0" collapsed="false">
      <c r="A1921" s="25" t="n">
        <v>46291</v>
      </c>
      <c r="B1921" s="26" t="s">
        <v>16</v>
      </c>
      <c r="C1921" s="26" t="s">
        <v>74</v>
      </c>
      <c r="D1921" s="26" t="s">
        <v>26</v>
      </c>
      <c r="E1921" s="26" t="n">
        <v>29</v>
      </c>
    </row>
    <row r="1922" customFormat="false" ht="15" hidden="false" customHeight="false" outlineLevel="0" collapsed="false">
      <c r="A1922" s="25" t="n">
        <v>46291</v>
      </c>
      <c r="B1922" s="26" t="s">
        <v>17</v>
      </c>
      <c r="C1922" s="26" t="s">
        <v>72</v>
      </c>
      <c r="D1922" s="26" t="s">
        <v>26</v>
      </c>
      <c r="E1922" s="26" t="n">
        <v>68</v>
      </c>
    </row>
    <row r="1923" customFormat="false" ht="15" hidden="false" customHeight="false" outlineLevel="0" collapsed="false">
      <c r="A1923" s="25" t="n">
        <v>46291</v>
      </c>
      <c r="B1923" s="26" t="s">
        <v>17</v>
      </c>
      <c r="C1923" s="26" t="s">
        <v>73</v>
      </c>
      <c r="D1923" s="26" t="s">
        <v>26</v>
      </c>
      <c r="E1923" s="26" t="n">
        <v>52</v>
      </c>
    </row>
    <row r="1924" customFormat="false" ht="15" hidden="false" customHeight="false" outlineLevel="0" collapsed="false">
      <c r="A1924" s="25" t="n">
        <v>46291</v>
      </c>
      <c r="B1924" s="26" t="s">
        <v>17</v>
      </c>
      <c r="C1924" s="26" t="s">
        <v>74</v>
      </c>
      <c r="D1924" s="26" t="s">
        <v>29</v>
      </c>
      <c r="E1924" s="26" t="n">
        <v>19</v>
      </c>
    </row>
    <row r="1925" customFormat="false" ht="15" hidden="false" customHeight="false" outlineLevel="0" collapsed="false">
      <c r="A1925" s="25" t="n">
        <v>46291</v>
      </c>
      <c r="B1925" s="26" t="s">
        <v>17</v>
      </c>
      <c r="C1925" s="26" t="s">
        <v>74</v>
      </c>
      <c r="D1925" s="26" t="s">
        <v>26</v>
      </c>
      <c r="E1925" s="26" t="n">
        <v>35</v>
      </c>
    </row>
    <row r="1926" customFormat="false" ht="15" hidden="false" customHeight="false" outlineLevel="0" collapsed="false">
      <c r="A1926" s="25" t="n">
        <v>46291</v>
      </c>
      <c r="B1926" s="26" t="s">
        <v>18</v>
      </c>
      <c r="C1926" s="26" t="s">
        <v>72</v>
      </c>
      <c r="D1926" s="26" t="s">
        <v>26</v>
      </c>
      <c r="E1926" s="26" t="n">
        <v>48</v>
      </c>
    </row>
    <row r="1927" customFormat="false" ht="15" hidden="false" customHeight="false" outlineLevel="0" collapsed="false">
      <c r="A1927" s="25" t="n">
        <v>46291</v>
      </c>
      <c r="B1927" s="26" t="s">
        <v>18</v>
      </c>
      <c r="C1927" s="26" t="s">
        <v>73</v>
      </c>
      <c r="D1927" s="26" t="s">
        <v>30</v>
      </c>
      <c r="E1927" s="26" t="n">
        <v>24</v>
      </c>
    </row>
    <row r="1928" customFormat="false" ht="15" hidden="false" customHeight="false" outlineLevel="0" collapsed="false">
      <c r="A1928" s="25" t="n">
        <v>46291</v>
      </c>
      <c r="B1928" s="26" t="s">
        <v>18</v>
      </c>
      <c r="C1928" s="26" t="s">
        <v>74</v>
      </c>
      <c r="D1928" s="26" t="s">
        <v>26</v>
      </c>
      <c r="E1928" s="26" t="n">
        <v>30</v>
      </c>
    </row>
    <row r="1929" customFormat="false" ht="15" hidden="false" customHeight="false" outlineLevel="0" collapsed="false">
      <c r="A1929" s="25" t="n">
        <v>46291</v>
      </c>
      <c r="B1929" s="26" t="s">
        <v>18</v>
      </c>
      <c r="C1929" s="26" t="s">
        <v>74</v>
      </c>
      <c r="D1929" s="26" t="s">
        <v>27</v>
      </c>
      <c r="E1929" s="26" t="n">
        <v>33</v>
      </c>
    </row>
    <row r="1930" customFormat="false" ht="15" hidden="false" customHeight="false" outlineLevel="0" collapsed="false">
      <c r="A1930" s="25" t="n">
        <v>46292</v>
      </c>
      <c r="B1930" s="26" t="s">
        <v>16</v>
      </c>
      <c r="C1930" s="26" t="s">
        <v>72</v>
      </c>
      <c r="D1930" s="26" t="s">
        <v>26</v>
      </c>
      <c r="E1930" s="26" t="n">
        <v>56</v>
      </c>
    </row>
    <row r="1931" customFormat="false" ht="15" hidden="false" customHeight="false" outlineLevel="0" collapsed="false">
      <c r="A1931" s="25" t="n">
        <v>46292</v>
      </c>
      <c r="B1931" s="26" t="s">
        <v>16</v>
      </c>
      <c r="C1931" s="26" t="s">
        <v>72</v>
      </c>
      <c r="D1931" s="26" t="s">
        <v>31</v>
      </c>
      <c r="E1931" s="26" t="n">
        <v>43</v>
      </c>
    </row>
    <row r="1932" customFormat="false" ht="15" hidden="false" customHeight="false" outlineLevel="0" collapsed="false">
      <c r="A1932" s="25" t="n">
        <v>46292</v>
      </c>
      <c r="B1932" s="26" t="s">
        <v>16</v>
      </c>
      <c r="C1932" s="26" t="s">
        <v>72</v>
      </c>
      <c r="D1932" s="26" t="s">
        <v>26</v>
      </c>
      <c r="E1932" s="26" t="n">
        <v>35</v>
      </c>
    </row>
    <row r="1933" customFormat="false" ht="15" hidden="false" customHeight="false" outlineLevel="0" collapsed="false">
      <c r="A1933" s="25" t="n">
        <v>46292</v>
      </c>
      <c r="B1933" s="26" t="s">
        <v>16</v>
      </c>
      <c r="C1933" s="26" t="s">
        <v>73</v>
      </c>
      <c r="D1933" s="26" t="s">
        <v>27</v>
      </c>
      <c r="E1933" s="26" t="n">
        <v>22</v>
      </c>
    </row>
    <row r="1934" customFormat="false" ht="15" hidden="false" customHeight="false" outlineLevel="0" collapsed="false">
      <c r="A1934" s="25" t="n">
        <v>46292</v>
      </c>
      <c r="B1934" s="26" t="s">
        <v>16</v>
      </c>
      <c r="C1934" s="26" t="s">
        <v>73</v>
      </c>
      <c r="D1934" s="26" t="s">
        <v>32</v>
      </c>
      <c r="E1934" s="26" t="n">
        <v>8</v>
      </c>
    </row>
    <row r="1935" customFormat="false" ht="15" hidden="false" customHeight="false" outlineLevel="0" collapsed="false">
      <c r="A1935" s="25" t="n">
        <v>46292</v>
      </c>
      <c r="B1935" s="26" t="s">
        <v>16</v>
      </c>
      <c r="C1935" s="26" t="s">
        <v>73</v>
      </c>
      <c r="D1935" s="26" t="s">
        <v>29</v>
      </c>
      <c r="E1935" s="26" t="n">
        <v>13</v>
      </c>
    </row>
    <row r="1936" customFormat="false" ht="15" hidden="false" customHeight="false" outlineLevel="0" collapsed="false">
      <c r="A1936" s="25" t="n">
        <v>46292</v>
      </c>
      <c r="B1936" s="26" t="s">
        <v>16</v>
      </c>
      <c r="C1936" s="26" t="s">
        <v>73</v>
      </c>
      <c r="D1936" s="26" t="s">
        <v>28</v>
      </c>
      <c r="E1936" s="26" t="n">
        <v>73</v>
      </c>
    </row>
    <row r="1937" customFormat="false" ht="15" hidden="false" customHeight="false" outlineLevel="0" collapsed="false">
      <c r="A1937" s="25" t="n">
        <v>46292</v>
      </c>
      <c r="B1937" s="26" t="s">
        <v>16</v>
      </c>
      <c r="C1937" s="26" t="s">
        <v>74</v>
      </c>
      <c r="D1937" s="26" t="s">
        <v>27</v>
      </c>
      <c r="E1937" s="26" t="n">
        <v>57</v>
      </c>
    </row>
    <row r="1938" customFormat="false" ht="15" hidden="false" customHeight="false" outlineLevel="0" collapsed="false">
      <c r="A1938" s="25" t="n">
        <v>46292</v>
      </c>
      <c r="B1938" s="26" t="s">
        <v>17</v>
      </c>
      <c r="C1938" s="26" t="s">
        <v>72</v>
      </c>
      <c r="D1938" s="26" t="s">
        <v>26</v>
      </c>
      <c r="E1938" s="26" t="n">
        <v>54</v>
      </c>
    </row>
    <row r="1939" customFormat="false" ht="15" hidden="false" customHeight="false" outlineLevel="0" collapsed="false">
      <c r="A1939" s="25" t="n">
        <v>46292</v>
      </c>
      <c r="B1939" s="26" t="s">
        <v>17</v>
      </c>
      <c r="C1939" s="26" t="s">
        <v>72</v>
      </c>
      <c r="D1939" s="26" t="s">
        <v>26</v>
      </c>
      <c r="E1939" s="26" t="n">
        <v>26</v>
      </c>
    </row>
    <row r="1940" customFormat="false" ht="15" hidden="false" customHeight="false" outlineLevel="0" collapsed="false">
      <c r="A1940" s="25" t="n">
        <v>46292</v>
      </c>
      <c r="B1940" s="26" t="s">
        <v>17</v>
      </c>
      <c r="C1940" s="26" t="s">
        <v>73</v>
      </c>
      <c r="D1940" s="26" t="s">
        <v>27</v>
      </c>
      <c r="E1940" s="26" t="n">
        <v>19</v>
      </c>
    </row>
    <row r="1941" customFormat="false" ht="15" hidden="false" customHeight="false" outlineLevel="0" collapsed="false">
      <c r="A1941" s="25" t="n">
        <v>46292</v>
      </c>
      <c r="B1941" s="26" t="s">
        <v>17</v>
      </c>
      <c r="C1941" s="26" t="s">
        <v>73</v>
      </c>
      <c r="D1941" s="26" t="s">
        <v>29</v>
      </c>
      <c r="E1941" s="26" t="n">
        <v>15</v>
      </c>
    </row>
    <row r="1942" customFormat="false" ht="15" hidden="false" customHeight="false" outlineLevel="0" collapsed="false">
      <c r="A1942" s="25" t="n">
        <v>46292</v>
      </c>
      <c r="B1942" s="26" t="s">
        <v>17</v>
      </c>
      <c r="C1942" s="26" t="s">
        <v>74</v>
      </c>
      <c r="D1942" s="26" t="s">
        <v>30</v>
      </c>
      <c r="E1942" s="26" t="n">
        <v>73</v>
      </c>
    </row>
    <row r="1943" customFormat="false" ht="15" hidden="false" customHeight="false" outlineLevel="0" collapsed="false">
      <c r="A1943" s="25" t="n">
        <v>46292</v>
      </c>
      <c r="B1943" s="26" t="s">
        <v>17</v>
      </c>
      <c r="C1943" s="26" t="s">
        <v>74</v>
      </c>
      <c r="D1943" s="26" t="s">
        <v>26</v>
      </c>
      <c r="E1943" s="26" t="n">
        <v>18</v>
      </c>
    </row>
    <row r="1944" customFormat="false" ht="15" hidden="false" customHeight="false" outlineLevel="0" collapsed="false">
      <c r="A1944" s="25" t="n">
        <v>46292</v>
      </c>
      <c r="B1944" s="26" t="s">
        <v>17</v>
      </c>
      <c r="C1944" s="26" t="s">
        <v>74</v>
      </c>
      <c r="D1944" s="26" t="s">
        <v>26</v>
      </c>
      <c r="E1944" s="26" t="n">
        <v>30</v>
      </c>
    </row>
    <row r="1945" customFormat="false" ht="15" hidden="false" customHeight="false" outlineLevel="0" collapsed="false">
      <c r="A1945" s="25" t="n">
        <v>46292</v>
      </c>
      <c r="B1945" s="26" t="s">
        <v>17</v>
      </c>
      <c r="C1945" s="26" t="s">
        <v>74</v>
      </c>
      <c r="D1945" s="26" t="s">
        <v>27</v>
      </c>
      <c r="E1945" s="26" t="n">
        <v>32</v>
      </c>
    </row>
    <row r="1946" customFormat="false" ht="15" hidden="false" customHeight="false" outlineLevel="0" collapsed="false">
      <c r="A1946" s="25" t="n">
        <v>46292</v>
      </c>
      <c r="B1946" s="26" t="s">
        <v>17</v>
      </c>
      <c r="C1946" s="26" t="s">
        <v>74</v>
      </c>
      <c r="D1946" s="26" t="s">
        <v>26</v>
      </c>
      <c r="E1946" s="26" t="n">
        <v>12</v>
      </c>
    </row>
    <row r="1947" customFormat="false" ht="15" hidden="false" customHeight="false" outlineLevel="0" collapsed="false">
      <c r="A1947" s="25" t="n">
        <v>46292</v>
      </c>
      <c r="B1947" s="26" t="s">
        <v>18</v>
      </c>
      <c r="C1947" s="26" t="s">
        <v>72</v>
      </c>
      <c r="D1947" s="26" t="s">
        <v>27</v>
      </c>
      <c r="E1947" s="26" t="n">
        <v>22</v>
      </c>
    </row>
    <row r="1948" customFormat="false" ht="15" hidden="false" customHeight="false" outlineLevel="0" collapsed="false">
      <c r="A1948" s="25" t="n">
        <v>46292</v>
      </c>
      <c r="B1948" s="26" t="s">
        <v>18</v>
      </c>
      <c r="C1948" s="26" t="s">
        <v>73</v>
      </c>
      <c r="D1948" s="26" t="s">
        <v>27</v>
      </c>
      <c r="E1948" s="26" t="n">
        <v>41</v>
      </c>
    </row>
    <row r="1949" customFormat="false" ht="15" hidden="false" customHeight="false" outlineLevel="0" collapsed="false">
      <c r="A1949" s="25" t="n">
        <v>46292</v>
      </c>
      <c r="B1949" s="26" t="s">
        <v>18</v>
      </c>
      <c r="C1949" s="26" t="s">
        <v>73</v>
      </c>
      <c r="D1949" s="26" t="s">
        <v>27</v>
      </c>
      <c r="E1949" s="26" t="n">
        <v>13</v>
      </c>
    </row>
    <row r="1950" customFormat="false" ht="15" hidden="false" customHeight="false" outlineLevel="0" collapsed="false">
      <c r="A1950" s="25" t="n">
        <v>46292</v>
      </c>
      <c r="B1950" s="26" t="s">
        <v>18</v>
      </c>
      <c r="C1950" s="26" t="s">
        <v>73</v>
      </c>
      <c r="D1950" s="26" t="s">
        <v>29</v>
      </c>
      <c r="E1950" s="26" t="n">
        <v>20</v>
      </c>
    </row>
    <row r="1951" customFormat="false" ht="15" hidden="false" customHeight="false" outlineLevel="0" collapsed="false">
      <c r="A1951" s="25" t="n">
        <v>46292</v>
      </c>
      <c r="B1951" s="26" t="s">
        <v>18</v>
      </c>
      <c r="C1951" s="26" t="s">
        <v>73</v>
      </c>
      <c r="D1951" s="26" t="s">
        <v>26</v>
      </c>
      <c r="E1951" s="26" t="n">
        <v>21</v>
      </c>
    </row>
    <row r="1952" customFormat="false" ht="15" hidden="false" customHeight="false" outlineLevel="0" collapsed="false">
      <c r="A1952" s="25" t="n">
        <v>46292</v>
      </c>
      <c r="B1952" s="26" t="s">
        <v>18</v>
      </c>
      <c r="C1952" s="26" t="s">
        <v>74</v>
      </c>
      <c r="D1952" s="26" t="s">
        <v>30</v>
      </c>
      <c r="E1952" s="26" t="n">
        <v>23</v>
      </c>
    </row>
    <row r="1953" customFormat="false" ht="15" hidden="false" customHeight="false" outlineLevel="0" collapsed="false">
      <c r="A1953" s="25" t="n">
        <v>46292</v>
      </c>
      <c r="B1953" s="26" t="s">
        <v>18</v>
      </c>
      <c r="C1953" s="26" t="s">
        <v>74</v>
      </c>
      <c r="D1953" s="26" t="s">
        <v>32</v>
      </c>
      <c r="E1953" s="26" t="n">
        <v>28</v>
      </c>
    </row>
    <row r="1954" customFormat="false" ht="15" hidden="false" customHeight="false" outlineLevel="0" collapsed="false">
      <c r="A1954" s="25" t="n">
        <v>46293</v>
      </c>
      <c r="B1954" s="26" t="s">
        <v>16</v>
      </c>
      <c r="C1954" s="26" t="s">
        <v>72</v>
      </c>
      <c r="D1954" s="26" t="s">
        <v>26</v>
      </c>
      <c r="E1954" s="26" t="n">
        <v>37</v>
      </c>
    </row>
    <row r="1955" customFormat="false" ht="15" hidden="false" customHeight="false" outlineLevel="0" collapsed="false">
      <c r="A1955" s="25" t="n">
        <v>46293</v>
      </c>
      <c r="B1955" s="26" t="s">
        <v>17</v>
      </c>
      <c r="C1955" s="26" t="s">
        <v>72</v>
      </c>
      <c r="D1955" s="26" t="s">
        <v>27</v>
      </c>
      <c r="E1955" s="26" t="n">
        <v>10</v>
      </c>
    </row>
    <row r="1956" customFormat="false" ht="15" hidden="false" customHeight="false" outlineLevel="0" collapsed="false">
      <c r="A1956" s="25" t="n">
        <v>46293</v>
      </c>
      <c r="B1956" s="26" t="s">
        <v>17</v>
      </c>
      <c r="C1956" s="26" t="s">
        <v>72</v>
      </c>
      <c r="D1956" s="26" t="s">
        <v>27</v>
      </c>
      <c r="E1956" s="26" t="n">
        <v>16</v>
      </c>
    </row>
    <row r="1957" customFormat="false" ht="15" hidden="false" customHeight="false" outlineLevel="0" collapsed="false">
      <c r="A1957" s="25" t="n">
        <v>46293</v>
      </c>
      <c r="B1957" s="26" t="s">
        <v>17</v>
      </c>
      <c r="C1957" s="26" t="s">
        <v>72</v>
      </c>
      <c r="D1957" s="26" t="s">
        <v>30</v>
      </c>
      <c r="E1957" s="26" t="n">
        <v>40</v>
      </c>
    </row>
    <row r="1958" customFormat="false" ht="15" hidden="false" customHeight="false" outlineLevel="0" collapsed="false">
      <c r="A1958" s="25" t="n">
        <v>46293</v>
      </c>
      <c r="B1958" s="26" t="s">
        <v>17</v>
      </c>
      <c r="C1958" s="26" t="s">
        <v>72</v>
      </c>
      <c r="D1958" s="26" t="s">
        <v>27</v>
      </c>
      <c r="E1958" s="26" t="n">
        <v>33</v>
      </c>
    </row>
    <row r="1959" customFormat="false" ht="15" hidden="false" customHeight="false" outlineLevel="0" collapsed="false">
      <c r="A1959" s="25" t="n">
        <v>46293</v>
      </c>
      <c r="B1959" s="26" t="s">
        <v>17</v>
      </c>
      <c r="C1959" s="26" t="s">
        <v>72</v>
      </c>
      <c r="D1959" s="26" t="s">
        <v>30</v>
      </c>
      <c r="E1959" s="26" t="n">
        <v>12</v>
      </c>
    </row>
    <row r="1960" customFormat="false" ht="15" hidden="false" customHeight="false" outlineLevel="0" collapsed="false">
      <c r="A1960" s="25" t="n">
        <v>46293</v>
      </c>
      <c r="B1960" s="26" t="s">
        <v>17</v>
      </c>
      <c r="C1960" s="26" t="s">
        <v>72</v>
      </c>
      <c r="D1960" s="26" t="s">
        <v>27</v>
      </c>
      <c r="E1960" s="26" t="n">
        <v>25</v>
      </c>
    </row>
    <row r="1961" customFormat="false" ht="15" hidden="false" customHeight="false" outlineLevel="0" collapsed="false">
      <c r="A1961" s="25" t="n">
        <v>46293</v>
      </c>
      <c r="B1961" s="26" t="s">
        <v>17</v>
      </c>
      <c r="C1961" s="26" t="s">
        <v>73</v>
      </c>
      <c r="D1961" s="26" t="s">
        <v>26</v>
      </c>
      <c r="E1961" s="26" t="n">
        <v>48</v>
      </c>
    </row>
    <row r="1962" customFormat="false" ht="15" hidden="false" customHeight="false" outlineLevel="0" collapsed="false">
      <c r="A1962" s="25" t="n">
        <v>46293</v>
      </c>
      <c r="B1962" s="26" t="s">
        <v>17</v>
      </c>
      <c r="C1962" s="26" t="s">
        <v>73</v>
      </c>
      <c r="D1962" s="26" t="s">
        <v>26</v>
      </c>
      <c r="E1962" s="26" t="n">
        <v>84</v>
      </c>
    </row>
    <row r="1963" customFormat="false" ht="15" hidden="false" customHeight="false" outlineLevel="0" collapsed="false">
      <c r="A1963" s="25" t="n">
        <v>46293</v>
      </c>
      <c r="B1963" s="26" t="s">
        <v>17</v>
      </c>
      <c r="C1963" s="26" t="s">
        <v>74</v>
      </c>
      <c r="D1963" s="26" t="s">
        <v>26</v>
      </c>
      <c r="E1963" s="26" t="n">
        <v>27</v>
      </c>
    </row>
    <row r="1964" customFormat="false" ht="15" hidden="false" customHeight="false" outlineLevel="0" collapsed="false">
      <c r="A1964" s="25" t="n">
        <v>46293</v>
      </c>
      <c r="B1964" s="26" t="s">
        <v>17</v>
      </c>
      <c r="C1964" s="26" t="s">
        <v>74</v>
      </c>
      <c r="D1964" s="26" t="s">
        <v>26</v>
      </c>
      <c r="E1964" s="26" t="n">
        <v>13</v>
      </c>
    </row>
    <row r="1965" customFormat="false" ht="15" hidden="false" customHeight="false" outlineLevel="0" collapsed="false">
      <c r="A1965" s="25" t="n">
        <v>46293</v>
      </c>
      <c r="B1965" s="26" t="s">
        <v>17</v>
      </c>
      <c r="C1965" s="26" t="s">
        <v>74</v>
      </c>
      <c r="D1965" s="26" t="s">
        <v>31</v>
      </c>
      <c r="E1965" s="26" t="n">
        <v>45</v>
      </c>
    </row>
    <row r="1966" customFormat="false" ht="15" hidden="false" customHeight="false" outlineLevel="0" collapsed="false">
      <c r="A1966" s="25" t="n">
        <v>46293</v>
      </c>
      <c r="B1966" s="26" t="s">
        <v>17</v>
      </c>
      <c r="C1966" s="26" t="s">
        <v>74</v>
      </c>
      <c r="D1966" s="26" t="s">
        <v>28</v>
      </c>
      <c r="E1966" s="26" t="n">
        <v>55</v>
      </c>
    </row>
    <row r="1967" customFormat="false" ht="15" hidden="false" customHeight="false" outlineLevel="0" collapsed="false">
      <c r="A1967" s="25" t="n">
        <v>46293</v>
      </c>
      <c r="B1967" s="26" t="s">
        <v>17</v>
      </c>
      <c r="C1967" s="26" t="s">
        <v>74</v>
      </c>
      <c r="D1967" s="26" t="s">
        <v>27</v>
      </c>
      <c r="E1967" s="26" t="n">
        <v>17</v>
      </c>
    </row>
    <row r="1968" customFormat="false" ht="15" hidden="false" customHeight="false" outlineLevel="0" collapsed="false">
      <c r="A1968" s="25" t="n">
        <v>46293</v>
      </c>
      <c r="B1968" s="26" t="s">
        <v>17</v>
      </c>
      <c r="C1968" s="26" t="s">
        <v>74</v>
      </c>
      <c r="D1968" s="26" t="s">
        <v>28</v>
      </c>
      <c r="E1968" s="26" t="n">
        <v>30</v>
      </c>
    </row>
    <row r="1969" customFormat="false" ht="15" hidden="false" customHeight="false" outlineLevel="0" collapsed="false">
      <c r="A1969" s="25" t="n">
        <v>46293</v>
      </c>
      <c r="B1969" s="26" t="s">
        <v>18</v>
      </c>
      <c r="C1969" s="26" t="s">
        <v>72</v>
      </c>
      <c r="D1969" s="26" t="s">
        <v>26</v>
      </c>
      <c r="E1969" s="26" t="n">
        <v>58</v>
      </c>
    </row>
    <row r="1970" customFormat="false" ht="15" hidden="false" customHeight="false" outlineLevel="0" collapsed="false">
      <c r="A1970" s="25" t="n">
        <v>46293</v>
      </c>
      <c r="B1970" s="26" t="s">
        <v>18</v>
      </c>
      <c r="C1970" s="26" t="s">
        <v>73</v>
      </c>
      <c r="D1970" s="26" t="s">
        <v>27</v>
      </c>
      <c r="E1970" s="26" t="n">
        <v>119</v>
      </c>
    </row>
    <row r="1971" customFormat="false" ht="15" hidden="false" customHeight="false" outlineLevel="0" collapsed="false">
      <c r="A1971" s="25" t="n">
        <v>46293</v>
      </c>
      <c r="B1971" s="26" t="s">
        <v>18</v>
      </c>
      <c r="C1971" s="26" t="s">
        <v>73</v>
      </c>
      <c r="D1971" s="26" t="s">
        <v>26</v>
      </c>
      <c r="E1971" s="26" t="n">
        <v>27</v>
      </c>
    </row>
    <row r="1972" customFormat="false" ht="15" hidden="false" customHeight="false" outlineLevel="0" collapsed="false">
      <c r="A1972" s="25" t="n">
        <v>46293</v>
      </c>
      <c r="B1972" s="26" t="s">
        <v>18</v>
      </c>
      <c r="C1972" s="26" t="s">
        <v>73</v>
      </c>
      <c r="D1972" s="26" t="s">
        <v>27</v>
      </c>
      <c r="E1972" s="26" t="n">
        <v>15</v>
      </c>
    </row>
    <row r="1973" customFormat="false" ht="15" hidden="false" customHeight="false" outlineLevel="0" collapsed="false">
      <c r="A1973" s="25" t="n">
        <v>46293</v>
      </c>
      <c r="B1973" s="26" t="s">
        <v>18</v>
      </c>
      <c r="C1973" s="26" t="s">
        <v>74</v>
      </c>
      <c r="D1973" s="26" t="s">
        <v>28</v>
      </c>
      <c r="E1973" s="26" t="n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30"/>
  </cols>
  <sheetData>
    <row r="1" customFormat="false" ht="15" hidden="false" customHeight="false" outlineLevel="0" collapsed="false">
      <c r="A1" s="15" t="s">
        <v>2</v>
      </c>
      <c r="B1" s="15" t="s">
        <v>4</v>
      </c>
      <c r="C1" s="15" t="s">
        <v>75</v>
      </c>
      <c r="D1" s="15" t="s">
        <v>20</v>
      </c>
    </row>
    <row r="2" customFormat="false" ht="15" hidden="false" customHeight="false" outlineLevel="0" collapsed="false">
      <c r="A2" s="0" t="s">
        <v>3</v>
      </c>
      <c r="B2" s="0" t="s">
        <v>5</v>
      </c>
      <c r="C2" s="0" t="n">
        <v>0</v>
      </c>
      <c r="D2" s="0" t="s">
        <v>26</v>
      </c>
    </row>
    <row r="3" customFormat="false" ht="15" hidden="false" customHeight="false" outlineLevel="0" collapsed="false">
      <c r="A3" s="0" t="s">
        <v>16</v>
      </c>
      <c r="B3" s="0" t="s">
        <v>76</v>
      </c>
      <c r="C3" s="0" t="n">
        <v>7</v>
      </c>
      <c r="D3" s="0" t="s">
        <v>27</v>
      </c>
    </row>
    <row r="4" customFormat="false" ht="15" hidden="false" customHeight="false" outlineLevel="0" collapsed="false">
      <c r="A4" s="0" t="s">
        <v>17</v>
      </c>
      <c r="B4" s="0" t="s">
        <v>77</v>
      </c>
      <c r="C4" s="0" t="n">
        <v>8</v>
      </c>
      <c r="D4" s="0" t="s">
        <v>28</v>
      </c>
    </row>
    <row r="5" customFormat="false" ht="15" hidden="false" customHeight="false" outlineLevel="0" collapsed="false">
      <c r="A5" s="0" t="s">
        <v>18</v>
      </c>
      <c r="B5" s="0" t="s">
        <v>78</v>
      </c>
      <c r="C5" s="0" t="n">
        <v>9</v>
      </c>
      <c r="D5" s="0" t="s">
        <v>29</v>
      </c>
    </row>
    <row r="6" customFormat="false" ht="15" hidden="false" customHeight="false" outlineLevel="0" collapsed="false">
      <c r="D6" s="0" t="s">
        <v>30</v>
      </c>
    </row>
    <row r="7" customFormat="false" ht="15" hidden="false" customHeight="false" outlineLevel="0" collapsed="false">
      <c r="D7" s="0" t="s">
        <v>31</v>
      </c>
    </row>
    <row r="8" customFormat="false" ht="15" hidden="false" customHeight="false" outlineLevel="0" collapsed="false">
      <c r="D8" s="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2026-10-19T19:29:13Z</dcterms:created>
  <dc:creator>openpyxl</dc:creator>
  <dc:description/>
  <dc:language>en-US</dc:language>
  <cp:lastModifiedBy/>
  <dcterms:modified xsi:type="dcterms:W3CDTF">2026-10-19T16:29:17Z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