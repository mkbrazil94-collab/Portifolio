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barba" sheetId="2" state="visible" r:id="rId4"/>
    <sheet name="Pare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Limite superior de especificação do cliente (CTQ do charter)</t>
        </r>
      </text>
    </comment>
  </commentList>
</comments>
</file>

<file path=xl/sharedStrings.xml><?xml version="1.0" encoding="utf-8"?>
<sst xmlns="http://schemas.openxmlformats.org/spreadsheetml/2006/main" count="153" uniqueCount="31">
  <si>
    <t xml:space="preserve">Dados fictícios – Case DMAIC: redução de refugo na estamparia (Metalúrgica Vale Azul, empresa fictícia)</t>
  </si>
  <si>
    <t xml:space="preserve">Aba Rebarba: 125 medições da altura da rebarba do suporte S-210 (mm), 25 subgrupos de 5 peças, 1 subgrupo por dia útil, turnos alternados.</t>
  </si>
  <si>
    <t xml:space="preserve">Limite superior de especificação (LSE): 0,15 mm. Não há limite inferior (a rebarba ideal é zero).</t>
  </si>
  <si>
    <t xml:space="preserve">Aba Pareto: peças refugadas por tipo de defeito, de janeiro a junho (total 34.560 = 5.760 por mês × 6).</t>
  </si>
  <si>
    <t xml:space="preserve">No Minitab: copie as colunas de cada aba para a planilha do Minitab (ou abra este arquivo direto) e siga o roteiro do documento do case.</t>
  </si>
  <si>
    <t xml:space="preserve">Dados gerados para fins de portfólio; não representam nenhuma empresa real.</t>
  </si>
  <si>
    <t xml:space="preserve">Subgrupo</t>
  </si>
  <si>
    <t xml:space="preserve">Data</t>
  </si>
  <si>
    <t xml:space="preserve">Turno</t>
  </si>
  <si>
    <t xml:space="preserve">Peca</t>
  </si>
  <si>
    <t xml:space="preserve">Rebarba_mm</t>
  </si>
  <si>
    <t xml:space="preserve">LSE (mm)</t>
  </si>
  <si>
    <t xml:space="preserve">A</t>
  </si>
  <si>
    <t xml:space="preserve">Média</t>
  </si>
  <si>
    <t xml:space="preserve">Desvio padrão</t>
  </si>
  <si>
    <t xml:space="preserve">Acima do LSE</t>
  </si>
  <si>
    <t xml:space="preserve">Ppk (estimado)</t>
  </si>
  <si>
    <t xml:space="preserve">B</t>
  </si>
  <si>
    <t xml:space="preserve">C</t>
  </si>
  <si>
    <t xml:space="preserve">Defeito</t>
  </si>
  <si>
    <t xml:space="preserve">Quantidade</t>
  </si>
  <si>
    <t xml:space="preserve">%</t>
  </si>
  <si>
    <t xml:space="preserve">% acumulado</t>
  </si>
  <si>
    <t xml:space="preserve">Rebarba acima de 0,15 mm</t>
  </si>
  <si>
    <t xml:space="preserve">Trinca na dobra</t>
  </si>
  <si>
    <t xml:space="preserve">Dimensional fora</t>
  </si>
  <si>
    <t xml:space="preserve">Marca ou risco na superfície</t>
  </si>
  <si>
    <t xml:space="preserve">Empenamento</t>
  </si>
  <si>
    <t xml:space="preserve">Outros</t>
  </si>
  <si>
    <t xml:space="preserve">Total</t>
  </si>
  <si>
    <t xml:space="preserve">Quantidades em azul são dados de entrada fictícios (jan a jun); % e acumulado são calculados.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</si>
</sst>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9"/>
      <color rgb="FF6B6A6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A6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G1" s="4" t="s">
        <v>11</v>
      </c>
      <c r="H1" s="5" t="n">
        <v>0.15</v>
      </c>
    </row>
    <row r="2" customFormat="false" ht="15" hidden="false" customHeight="false" outlineLevel="0" collapsed="false">
      <c r="A2" s="6" t="n">
        <v>1</v>
      </c>
      <c r="B2" s="7" t="n">
        <v>46174</v>
      </c>
      <c r="C2" s="6" t="s">
        <v>12</v>
      </c>
      <c r="D2" s="6" t="n">
        <v>1</v>
      </c>
      <c r="E2" s="8" t="n">
        <v>0.134</v>
      </c>
      <c r="G2" s="6" t="s">
        <v>13</v>
      </c>
      <c r="H2" s="8" t="n">
        <f aca="false">AVERAGE(E2:E126)</f>
        <v>0.10508</v>
      </c>
    </row>
    <row r="3" customFormat="false" ht="15" hidden="false" customHeight="false" outlineLevel="0" collapsed="false">
      <c r="A3" s="6" t="n">
        <v>1</v>
      </c>
      <c r="B3" s="7" t="n">
        <v>46174</v>
      </c>
      <c r="C3" s="6" t="s">
        <v>12</v>
      </c>
      <c r="D3" s="6" t="n">
        <v>2</v>
      </c>
      <c r="E3" s="8" t="n">
        <v>0.131</v>
      </c>
      <c r="G3" s="6" t="s">
        <v>14</v>
      </c>
      <c r="H3" s="8" t="n">
        <f aca="false">STDEV(E2:E126)</f>
        <v>0.0208553389157386</v>
      </c>
    </row>
    <row r="4" customFormat="false" ht="15" hidden="false" customHeight="false" outlineLevel="0" collapsed="false">
      <c r="A4" s="6" t="n">
        <v>1</v>
      </c>
      <c r="B4" s="7" t="n">
        <v>46174</v>
      </c>
      <c r="C4" s="6" t="s">
        <v>12</v>
      </c>
      <c r="D4" s="6" t="n">
        <v>3</v>
      </c>
      <c r="E4" s="8" t="n">
        <v>0.094</v>
      </c>
      <c r="G4" s="6" t="s">
        <v>15</v>
      </c>
      <c r="H4" s="6" t="n">
        <f aca="false">COUNTIF(E2:E126,"&gt;"&amp;H1)</f>
        <v>1</v>
      </c>
    </row>
    <row r="5" customFormat="false" ht="15" hidden="false" customHeight="false" outlineLevel="0" collapsed="false">
      <c r="A5" s="6" t="n">
        <v>1</v>
      </c>
      <c r="B5" s="7" t="n">
        <v>46174</v>
      </c>
      <c r="C5" s="6" t="s">
        <v>12</v>
      </c>
      <c r="D5" s="6" t="n">
        <v>4</v>
      </c>
      <c r="E5" s="8" t="n">
        <v>0.099</v>
      </c>
      <c r="G5" s="6" t="s">
        <v>16</v>
      </c>
      <c r="H5" s="8" t="n">
        <f aca="false">(H1-H2)/(3*H3)</f>
        <v>0.717961640126289</v>
      </c>
    </row>
    <row r="6" customFormat="false" ht="15" hidden="false" customHeight="false" outlineLevel="0" collapsed="false">
      <c r="A6" s="6" t="n">
        <v>1</v>
      </c>
      <c r="B6" s="7" t="n">
        <v>46174</v>
      </c>
      <c r="C6" s="6" t="s">
        <v>12</v>
      </c>
      <c r="D6" s="6" t="n">
        <v>5</v>
      </c>
      <c r="E6" s="8" t="n">
        <v>0.094</v>
      </c>
    </row>
    <row r="7" customFormat="false" ht="15" hidden="false" customHeight="false" outlineLevel="0" collapsed="false">
      <c r="A7" s="6" t="n">
        <v>2</v>
      </c>
      <c r="B7" s="7" t="n">
        <v>46175</v>
      </c>
      <c r="C7" s="6" t="s">
        <v>17</v>
      </c>
      <c r="D7" s="6" t="n">
        <v>1</v>
      </c>
      <c r="E7" s="8" t="n">
        <v>0.106</v>
      </c>
    </row>
    <row r="8" customFormat="false" ht="15" hidden="false" customHeight="false" outlineLevel="0" collapsed="false">
      <c r="A8" s="6" t="n">
        <v>2</v>
      </c>
      <c r="B8" s="7" t="n">
        <v>46175</v>
      </c>
      <c r="C8" s="6" t="s">
        <v>17</v>
      </c>
      <c r="D8" s="6" t="n">
        <v>2</v>
      </c>
      <c r="E8" s="8" t="n">
        <v>0.123</v>
      </c>
    </row>
    <row r="9" customFormat="false" ht="15" hidden="false" customHeight="false" outlineLevel="0" collapsed="false">
      <c r="A9" s="6" t="n">
        <v>2</v>
      </c>
      <c r="B9" s="7" t="n">
        <v>46175</v>
      </c>
      <c r="C9" s="6" t="s">
        <v>17</v>
      </c>
      <c r="D9" s="6" t="n">
        <v>3</v>
      </c>
      <c r="E9" s="8" t="n">
        <v>0.068</v>
      </c>
    </row>
    <row r="10" customFormat="false" ht="15" hidden="false" customHeight="false" outlineLevel="0" collapsed="false">
      <c r="A10" s="6" t="n">
        <v>2</v>
      </c>
      <c r="B10" s="7" t="n">
        <v>46175</v>
      </c>
      <c r="C10" s="6" t="s">
        <v>17</v>
      </c>
      <c r="D10" s="6" t="n">
        <v>4</v>
      </c>
      <c r="E10" s="8" t="n">
        <v>0.141</v>
      </c>
    </row>
    <row r="11" customFormat="false" ht="15" hidden="false" customHeight="false" outlineLevel="0" collapsed="false">
      <c r="A11" s="6" t="n">
        <v>2</v>
      </c>
      <c r="B11" s="7" t="n">
        <v>46175</v>
      </c>
      <c r="C11" s="6" t="s">
        <v>17</v>
      </c>
      <c r="D11" s="6" t="n">
        <v>5</v>
      </c>
      <c r="E11" s="8" t="n">
        <v>0.105</v>
      </c>
    </row>
    <row r="12" customFormat="false" ht="15" hidden="false" customHeight="false" outlineLevel="0" collapsed="false">
      <c r="A12" s="6" t="n">
        <v>3</v>
      </c>
      <c r="B12" s="7" t="n">
        <v>46176</v>
      </c>
      <c r="C12" s="6" t="s">
        <v>18</v>
      </c>
      <c r="D12" s="6" t="n">
        <v>1</v>
      </c>
      <c r="E12" s="8" t="n">
        <v>0.105</v>
      </c>
    </row>
    <row r="13" customFormat="false" ht="15" hidden="false" customHeight="false" outlineLevel="0" collapsed="false">
      <c r="A13" s="6" t="n">
        <v>3</v>
      </c>
      <c r="B13" s="7" t="n">
        <v>46176</v>
      </c>
      <c r="C13" s="6" t="s">
        <v>18</v>
      </c>
      <c r="D13" s="6" t="n">
        <v>2</v>
      </c>
      <c r="E13" s="8" t="n">
        <v>0.1</v>
      </c>
    </row>
    <row r="14" customFormat="false" ht="15" hidden="false" customHeight="false" outlineLevel="0" collapsed="false">
      <c r="A14" s="6" t="n">
        <v>3</v>
      </c>
      <c r="B14" s="7" t="n">
        <v>46176</v>
      </c>
      <c r="C14" s="6" t="s">
        <v>18</v>
      </c>
      <c r="D14" s="6" t="n">
        <v>3</v>
      </c>
      <c r="E14" s="8" t="n">
        <v>0.118</v>
      </c>
    </row>
    <row r="15" customFormat="false" ht="15" hidden="false" customHeight="false" outlineLevel="0" collapsed="false">
      <c r="A15" s="6" t="n">
        <v>3</v>
      </c>
      <c r="B15" s="7" t="n">
        <v>46176</v>
      </c>
      <c r="C15" s="6" t="s">
        <v>18</v>
      </c>
      <c r="D15" s="6" t="n">
        <v>4</v>
      </c>
      <c r="E15" s="8" t="n">
        <v>0.125</v>
      </c>
    </row>
    <row r="16" customFormat="false" ht="15" hidden="false" customHeight="false" outlineLevel="0" collapsed="false">
      <c r="A16" s="6" t="n">
        <v>3</v>
      </c>
      <c r="B16" s="7" t="n">
        <v>46176</v>
      </c>
      <c r="C16" s="6" t="s">
        <v>18</v>
      </c>
      <c r="D16" s="6" t="n">
        <v>5</v>
      </c>
      <c r="E16" s="8" t="n">
        <v>0.103</v>
      </c>
    </row>
    <row r="17" customFormat="false" ht="15" hidden="false" customHeight="false" outlineLevel="0" collapsed="false">
      <c r="A17" s="6" t="n">
        <v>4</v>
      </c>
      <c r="B17" s="7" t="n">
        <v>46177</v>
      </c>
      <c r="C17" s="6" t="s">
        <v>12</v>
      </c>
      <c r="D17" s="6" t="n">
        <v>1</v>
      </c>
      <c r="E17" s="8" t="n">
        <v>0.119</v>
      </c>
    </row>
    <row r="18" customFormat="false" ht="15" hidden="false" customHeight="false" outlineLevel="0" collapsed="false">
      <c r="A18" s="6" t="n">
        <v>4</v>
      </c>
      <c r="B18" s="7" t="n">
        <v>46177</v>
      </c>
      <c r="C18" s="6" t="s">
        <v>12</v>
      </c>
      <c r="D18" s="6" t="n">
        <v>2</v>
      </c>
      <c r="E18" s="8" t="n">
        <v>0.086</v>
      </c>
    </row>
    <row r="19" customFormat="false" ht="15" hidden="false" customHeight="false" outlineLevel="0" collapsed="false">
      <c r="A19" s="6" t="n">
        <v>4</v>
      </c>
      <c r="B19" s="7" t="n">
        <v>46177</v>
      </c>
      <c r="C19" s="6" t="s">
        <v>12</v>
      </c>
      <c r="D19" s="6" t="n">
        <v>3</v>
      </c>
      <c r="E19" s="8" t="n">
        <v>0.072</v>
      </c>
    </row>
    <row r="20" customFormat="false" ht="15" hidden="false" customHeight="false" outlineLevel="0" collapsed="false">
      <c r="A20" s="6" t="n">
        <v>4</v>
      </c>
      <c r="B20" s="7" t="n">
        <v>46177</v>
      </c>
      <c r="C20" s="6" t="s">
        <v>12</v>
      </c>
      <c r="D20" s="6" t="n">
        <v>4</v>
      </c>
      <c r="E20" s="8" t="n">
        <v>0.113</v>
      </c>
    </row>
    <row r="21" customFormat="false" ht="15" hidden="false" customHeight="false" outlineLevel="0" collapsed="false">
      <c r="A21" s="6" t="n">
        <v>4</v>
      </c>
      <c r="B21" s="7" t="n">
        <v>46177</v>
      </c>
      <c r="C21" s="6" t="s">
        <v>12</v>
      </c>
      <c r="D21" s="6" t="n">
        <v>5</v>
      </c>
      <c r="E21" s="8" t="n">
        <v>0.09</v>
      </c>
    </row>
    <row r="22" customFormat="false" ht="15" hidden="false" customHeight="false" outlineLevel="0" collapsed="false">
      <c r="A22" s="6" t="n">
        <v>5</v>
      </c>
      <c r="B22" s="7" t="n">
        <v>46178</v>
      </c>
      <c r="C22" s="6" t="s">
        <v>17</v>
      </c>
      <c r="D22" s="6" t="n">
        <v>1</v>
      </c>
      <c r="E22" s="8" t="n">
        <v>0.08</v>
      </c>
    </row>
    <row r="23" customFormat="false" ht="15" hidden="false" customHeight="false" outlineLevel="0" collapsed="false">
      <c r="A23" s="6" t="n">
        <v>5</v>
      </c>
      <c r="B23" s="7" t="n">
        <v>46178</v>
      </c>
      <c r="C23" s="6" t="s">
        <v>17</v>
      </c>
      <c r="D23" s="6" t="n">
        <v>2</v>
      </c>
      <c r="E23" s="8" t="n">
        <v>0.087</v>
      </c>
    </row>
    <row r="24" customFormat="false" ht="15" hidden="false" customHeight="false" outlineLevel="0" collapsed="false">
      <c r="A24" s="6" t="n">
        <v>5</v>
      </c>
      <c r="B24" s="7" t="n">
        <v>46178</v>
      </c>
      <c r="C24" s="6" t="s">
        <v>17</v>
      </c>
      <c r="D24" s="6" t="n">
        <v>3</v>
      </c>
      <c r="E24" s="8" t="n">
        <v>0.072</v>
      </c>
    </row>
    <row r="25" customFormat="false" ht="15" hidden="false" customHeight="false" outlineLevel="0" collapsed="false">
      <c r="A25" s="6" t="n">
        <v>5</v>
      </c>
      <c r="B25" s="7" t="n">
        <v>46178</v>
      </c>
      <c r="C25" s="6" t="s">
        <v>17</v>
      </c>
      <c r="D25" s="6" t="n">
        <v>4</v>
      </c>
      <c r="E25" s="8" t="n">
        <v>0.065</v>
      </c>
    </row>
    <row r="26" customFormat="false" ht="15" hidden="false" customHeight="false" outlineLevel="0" collapsed="false">
      <c r="A26" s="6" t="n">
        <v>5</v>
      </c>
      <c r="B26" s="7" t="n">
        <v>46178</v>
      </c>
      <c r="C26" s="6" t="s">
        <v>17</v>
      </c>
      <c r="D26" s="6" t="n">
        <v>5</v>
      </c>
      <c r="E26" s="8" t="n">
        <v>0.098</v>
      </c>
    </row>
    <row r="27" customFormat="false" ht="15" hidden="false" customHeight="false" outlineLevel="0" collapsed="false">
      <c r="A27" s="6" t="n">
        <v>6</v>
      </c>
      <c r="B27" s="7" t="n">
        <v>46181</v>
      </c>
      <c r="C27" s="6" t="s">
        <v>18</v>
      </c>
      <c r="D27" s="6" t="n">
        <v>1</v>
      </c>
      <c r="E27" s="8" t="n">
        <v>0.104</v>
      </c>
    </row>
    <row r="28" customFormat="false" ht="15" hidden="false" customHeight="false" outlineLevel="0" collapsed="false">
      <c r="A28" s="6" t="n">
        <v>6</v>
      </c>
      <c r="B28" s="7" t="n">
        <v>46181</v>
      </c>
      <c r="C28" s="6" t="s">
        <v>18</v>
      </c>
      <c r="D28" s="6" t="n">
        <v>2</v>
      </c>
      <c r="E28" s="8" t="n">
        <v>0.093</v>
      </c>
    </row>
    <row r="29" customFormat="false" ht="15" hidden="false" customHeight="false" outlineLevel="0" collapsed="false">
      <c r="A29" s="6" t="n">
        <v>6</v>
      </c>
      <c r="B29" s="7" t="n">
        <v>46181</v>
      </c>
      <c r="C29" s="6" t="s">
        <v>18</v>
      </c>
      <c r="D29" s="6" t="n">
        <v>3</v>
      </c>
      <c r="E29" s="8" t="n">
        <v>0.117</v>
      </c>
    </row>
    <row r="30" customFormat="false" ht="15" hidden="false" customHeight="false" outlineLevel="0" collapsed="false">
      <c r="A30" s="6" t="n">
        <v>6</v>
      </c>
      <c r="B30" s="7" t="n">
        <v>46181</v>
      </c>
      <c r="C30" s="6" t="s">
        <v>18</v>
      </c>
      <c r="D30" s="6" t="n">
        <v>4</v>
      </c>
      <c r="E30" s="8" t="n">
        <v>0.124</v>
      </c>
    </row>
    <row r="31" customFormat="false" ht="15" hidden="false" customHeight="false" outlineLevel="0" collapsed="false">
      <c r="A31" s="6" t="n">
        <v>6</v>
      </c>
      <c r="B31" s="7" t="n">
        <v>46181</v>
      </c>
      <c r="C31" s="6" t="s">
        <v>18</v>
      </c>
      <c r="D31" s="6" t="n">
        <v>5</v>
      </c>
      <c r="E31" s="8" t="n">
        <v>0.102</v>
      </c>
    </row>
    <row r="32" customFormat="false" ht="15" hidden="false" customHeight="false" outlineLevel="0" collapsed="false">
      <c r="A32" s="6" t="n">
        <v>7</v>
      </c>
      <c r="B32" s="7" t="n">
        <v>46182</v>
      </c>
      <c r="C32" s="6" t="s">
        <v>12</v>
      </c>
      <c r="D32" s="6" t="n">
        <v>1</v>
      </c>
      <c r="E32" s="8" t="n">
        <v>0.13</v>
      </c>
    </row>
    <row r="33" customFormat="false" ht="15" hidden="false" customHeight="false" outlineLevel="0" collapsed="false">
      <c r="A33" s="6" t="n">
        <v>7</v>
      </c>
      <c r="B33" s="7" t="n">
        <v>46182</v>
      </c>
      <c r="C33" s="6" t="s">
        <v>12</v>
      </c>
      <c r="D33" s="6" t="n">
        <v>2</v>
      </c>
      <c r="E33" s="8" t="n">
        <v>0.103</v>
      </c>
    </row>
    <row r="34" customFormat="false" ht="15" hidden="false" customHeight="false" outlineLevel="0" collapsed="false">
      <c r="A34" s="6" t="n">
        <v>7</v>
      </c>
      <c r="B34" s="7" t="n">
        <v>46182</v>
      </c>
      <c r="C34" s="6" t="s">
        <v>12</v>
      </c>
      <c r="D34" s="6" t="n">
        <v>3</v>
      </c>
      <c r="E34" s="8" t="n">
        <v>0.09</v>
      </c>
    </row>
    <row r="35" customFormat="false" ht="15" hidden="false" customHeight="false" outlineLevel="0" collapsed="false">
      <c r="A35" s="6" t="n">
        <v>7</v>
      </c>
      <c r="B35" s="7" t="n">
        <v>46182</v>
      </c>
      <c r="C35" s="6" t="s">
        <v>12</v>
      </c>
      <c r="D35" s="6" t="n">
        <v>4</v>
      </c>
      <c r="E35" s="8" t="n">
        <v>0.115</v>
      </c>
    </row>
    <row r="36" customFormat="false" ht="15" hidden="false" customHeight="false" outlineLevel="0" collapsed="false">
      <c r="A36" s="6" t="n">
        <v>7</v>
      </c>
      <c r="B36" s="7" t="n">
        <v>46182</v>
      </c>
      <c r="C36" s="6" t="s">
        <v>12</v>
      </c>
      <c r="D36" s="6" t="n">
        <v>5</v>
      </c>
      <c r="E36" s="8" t="n">
        <v>0.113</v>
      </c>
    </row>
    <row r="37" customFormat="false" ht="15" hidden="false" customHeight="false" outlineLevel="0" collapsed="false">
      <c r="A37" s="6" t="n">
        <v>8</v>
      </c>
      <c r="B37" s="7" t="n">
        <v>46183</v>
      </c>
      <c r="C37" s="6" t="s">
        <v>17</v>
      </c>
      <c r="D37" s="6" t="n">
        <v>1</v>
      </c>
      <c r="E37" s="8" t="n">
        <v>0.082</v>
      </c>
    </row>
    <row r="38" customFormat="false" ht="15" hidden="false" customHeight="false" outlineLevel="0" collapsed="false">
      <c r="A38" s="6" t="n">
        <v>8</v>
      </c>
      <c r="B38" s="7" t="n">
        <v>46183</v>
      </c>
      <c r="C38" s="6" t="s">
        <v>17</v>
      </c>
      <c r="D38" s="6" t="n">
        <v>2</v>
      </c>
      <c r="E38" s="8" t="n">
        <v>0.095</v>
      </c>
    </row>
    <row r="39" customFormat="false" ht="15" hidden="false" customHeight="false" outlineLevel="0" collapsed="false">
      <c r="A39" s="6" t="n">
        <v>8</v>
      </c>
      <c r="B39" s="7" t="n">
        <v>46183</v>
      </c>
      <c r="C39" s="6" t="s">
        <v>17</v>
      </c>
      <c r="D39" s="6" t="n">
        <v>3</v>
      </c>
      <c r="E39" s="8" t="n">
        <v>0.091</v>
      </c>
    </row>
    <row r="40" customFormat="false" ht="15" hidden="false" customHeight="false" outlineLevel="0" collapsed="false">
      <c r="A40" s="6" t="n">
        <v>8</v>
      </c>
      <c r="B40" s="7" t="n">
        <v>46183</v>
      </c>
      <c r="C40" s="6" t="s">
        <v>17</v>
      </c>
      <c r="D40" s="6" t="n">
        <v>4</v>
      </c>
      <c r="E40" s="8" t="n">
        <v>0.072</v>
      </c>
    </row>
    <row r="41" customFormat="false" ht="15" hidden="false" customHeight="false" outlineLevel="0" collapsed="false">
      <c r="A41" s="6" t="n">
        <v>8</v>
      </c>
      <c r="B41" s="7" t="n">
        <v>46183</v>
      </c>
      <c r="C41" s="6" t="s">
        <v>17</v>
      </c>
      <c r="D41" s="6" t="n">
        <v>5</v>
      </c>
      <c r="E41" s="8" t="n">
        <v>0.112</v>
      </c>
    </row>
    <row r="42" customFormat="false" ht="15" hidden="false" customHeight="false" outlineLevel="0" collapsed="false">
      <c r="A42" s="6" t="n">
        <v>9</v>
      </c>
      <c r="B42" s="7" t="n">
        <v>46184</v>
      </c>
      <c r="C42" s="6" t="s">
        <v>18</v>
      </c>
      <c r="D42" s="6" t="n">
        <v>1</v>
      </c>
      <c r="E42" s="8" t="n">
        <v>0.091</v>
      </c>
    </row>
    <row r="43" customFormat="false" ht="15" hidden="false" customHeight="false" outlineLevel="0" collapsed="false">
      <c r="A43" s="6" t="n">
        <v>9</v>
      </c>
      <c r="B43" s="7" t="n">
        <v>46184</v>
      </c>
      <c r="C43" s="6" t="s">
        <v>18</v>
      </c>
      <c r="D43" s="6" t="n">
        <v>2</v>
      </c>
      <c r="E43" s="8" t="n">
        <v>0.137</v>
      </c>
    </row>
    <row r="44" customFormat="false" ht="15" hidden="false" customHeight="false" outlineLevel="0" collapsed="false">
      <c r="A44" s="6" t="n">
        <v>9</v>
      </c>
      <c r="B44" s="7" t="n">
        <v>46184</v>
      </c>
      <c r="C44" s="6" t="s">
        <v>18</v>
      </c>
      <c r="D44" s="6" t="n">
        <v>3</v>
      </c>
      <c r="E44" s="8" t="n">
        <v>0.125</v>
      </c>
    </row>
    <row r="45" customFormat="false" ht="15" hidden="false" customHeight="false" outlineLevel="0" collapsed="false">
      <c r="A45" s="6" t="n">
        <v>9</v>
      </c>
      <c r="B45" s="7" t="n">
        <v>46184</v>
      </c>
      <c r="C45" s="6" t="s">
        <v>18</v>
      </c>
      <c r="D45" s="6" t="n">
        <v>4</v>
      </c>
      <c r="E45" s="8" t="n">
        <v>0.121</v>
      </c>
    </row>
    <row r="46" customFormat="false" ht="15" hidden="false" customHeight="false" outlineLevel="0" collapsed="false">
      <c r="A46" s="6" t="n">
        <v>9</v>
      </c>
      <c r="B46" s="7" t="n">
        <v>46184</v>
      </c>
      <c r="C46" s="6" t="s">
        <v>18</v>
      </c>
      <c r="D46" s="6" t="n">
        <v>5</v>
      </c>
      <c r="E46" s="8" t="n">
        <v>0.116</v>
      </c>
    </row>
    <row r="47" customFormat="false" ht="15" hidden="false" customHeight="false" outlineLevel="0" collapsed="false">
      <c r="A47" s="6" t="n">
        <v>10</v>
      </c>
      <c r="B47" s="7" t="n">
        <v>46185</v>
      </c>
      <c r="C47" s="6" t="s">
        <v>12</v>
      </c>
      <c r="D47" s="6" t="n">
        <v>1</v>
      </c>
      <c r="E47" s="8" t="n">
        <v>0.08</v>
      </c>
    </row>
    <row r="48" customFormat="false" ht="15" hidden="false" customHeight="false" outlineLevel="0" collapsed="false">
      <c r="A48" s="6" t="n">
        <v>10</v>
      </c>
      <c r="B48" s="7" t="n">
        <v>46185</v>
      </c>
      <c r="C48" s="6" t="s">
        <v>12</v>
      </c>
      <c r="D48" s="6" t="n">
        <v>2</v>
      </c>
      <c r="E48" s="8" t="n">
        <v>0.122</v>
      </c>
    </row>
    <row r="49" customFormat="false" ht="15" hidden="false" customHeight="false" outlineLevel="0" collapsed="false">
      <c r="A49" s="6" t="n">
        <v>10</v>
      </c>
      <c r="B49" s="7" t="n">
        <v>46185</v>
      </c>
      <c r="C49" s="6" t="s">
        <v>12</v>
      </c>
      <c r="D49" s="6" t="n">
        <v>3</v>
      </c>
      <c r="E49" s="8" t="n">
        <v>0.122</v>
      </c>
    </row>
    <row r="50" customFormat="false" ht="15" hidden="false" customHeight="false" outlineLevel="0" collapsed="false">
      <c r="A50" s="6" t="n">
        <v>10</v>
      </c>
      <c r="B50" s="7" t="n">
        <v>46185</v>
      </c>
      <c r="C50" s="6" t="s">
        <v>12</v>
      </c>
      <c r="D50" s="6" t="n">
        <v>4</v>
      </c>
      <c r="E50" s="8" t="n">
        <v>0.071</v>
      </c>
    </row>
    <row r="51" customFormat="false" ht="15" hidden="false" customHeight="false" outlineLevel="0" collapsed="false">
      <c r="A51" s="6" t="n">
        <v>10</v>
      </c>
      <c r="B51" s="7" t="n">
        <v>46185</v>
      </c>
      <c r="C51" s="6" t="s">
        <v>12</v>
      </c>
      <c r="D51" s="6" t="n">
        <v>5</v>
      </c>
      <c r="E51" s="8" t="n">
        <v>0.116</v>
      </c>
    </row>
    <row r="52" customFormat="false" ht="15" hidden="false" customHeight="false" outlineLevel="0" collapsed="false">
      <c r="A52" s="6" t="n">
        <v>11</v>
      </c>
      <c r="B52" s="7" t="n">
        <v>46188</v>
      </c>
      <c r="C52" s="6" t="s">
        <v>17</v>
      </c>
      <c r="D52" s="6" t="n">
        <v>1</v>
      </c>
      <c r="E52" s="8" t="n">
        <v>0.121</v>
      </c>
    </row>
    <row r="53" customFormat="false" ht="15" hidden="false" customHeight="false" outlineLevel="0" collapsed="false">
      <c r="A53" s="6" t="n">
        <v>11</v>
      </c>
      <c r="B53" s="7" t="n">
        <v>46188</v>
      </c>
      <c r="C53" s="6" t="s">
        <v>17</v>
      </c>
      <c r="D53" s="6" t="n">
        <v>2</v>
      </c>
      <c r="E53" s="8" t="n">
        <v>0.095</v>
      </c>
    </row>
    <row r="54" customFormat="false" ht="15" hidden="false" customHeight="false" outlineLevel="0" collapsed="false">
      <c r="A54" s="6" t="n">
        <v>11</v>
      </c>
      <c r="B54" s="7" t="n">
        <v>46188</v>
      </c>
      <c r="C54" s="6" t="s">
        <v>17</v>
      </c>
      <c r="D54" s="6" t="n">
        <v>3</v>
      </c>
      <c r="E54" s="8" t="n">
        <v>0.104</v>
      </c>
    </row>
    <row r="55" customFormat="false" ht="15" hidden="false" customHeight="false" outlineLevel="0" collapsed="false">
      <c r="A55" s="6" t="n">
        <v>11</v>
      </c>
      <c r="B55" s="7" t="n">
        <v>46188</v>
      </c>
      <c r="C55" s="6" t="s">
        <v>17</v>
      </c>
      <c r="D55" s="6" t="n">
        <v>4</v>
      </c>
      <c r="E55" s="8" t="n">
        <v>0.111</v>
      </c>
    </row>
    <row r="56" customFormat="false" ht="15" hidden="false" customHeight="false" outlineLevel="0" collapsed="false">
      <c r="A56" s="6" t="n">
        <v>11</v>
      </c>
      <c r="B56" s="7" t="n">
        <v>46188</v>
      </c>
      <c r="C56" s="6" t="s">
        <v>17</v>
      </c>
      <c r="D56" s="6" t="n">
        <v>5</v>
      </c>
      <c r="E56" s="8" t="n">
        <v>0.085</v>
      </c>
    </row>
    <row r="57" customFormat="false" ht="15" hidden="false" customHeight="false" outlineLevel="0" collapsed="false">
      <c r="A57" s="6" t="n">
        <v>12</v>
      </c>
      <c r="B57" s="7" t="n">
        <v>46189</v>
      </c>
      <c r="C57" s="6" t="s">
        <v>18</v>
      </c>
      <c r="D57" s="6" t="n">
        <v>1</v>
      </c>
      <c r="E57" s="8" t="n">
        <v>0.105</v>
      </c>
    </row>
    <row r="58" customFormat="false" ht="15" hidden="false" customHeight="false" outlineLevel="0" collapsed="false">
      <c r="A58" s="6" t="n">
        <v>12</v>
      </c>
      <c r="B58" s="7" t="n">
        <v>46189</v>
      </c>
      <c r="C58" s="6" t="s">
        <v>18</v>
      </c>
      <c r="D58" s="6" t="n">
        <v>2</v>
      </c>
      <c r="E58" s="8" t="n">
        <v>0.118</v>
      </c>
    </row>
    <row r="59" customFormat="false" ht="15" hidden="false" customHeight="false" outlineLevel="0" collapsed="false">
      <c r="A59" s="6" t="n">
        <v>12</v>
      </c>
      <c r="B59" s="7" t="n">
        <v>46189</v>
      </c>
      <c r="C59" s="6" t="s">
        <v>18</v>
      </c>
      <c r="D59" s="6" t="n">
        <v>3</v>
      </c>
      <c r="E59" s="8" t="n">
        <v>0.096</v>
      </c>
    </row>
    <row r="60" customFormat="false" ht="15" hidden="false" customHeight="false" outlineLevel="0" collapsed="false">
      <c r="A60" s="6" t="n">
        <v>12</v>
      </c>
      <c r="B60" s="7" t="n">
        <v>46189</v>
      </c>
      <c r="C60" s="6" t="s">
        <v>18</v>
      </c>
      <c r="D60" s="6" t="n">
        <v>4</v>
      </c>
      <c r="E60" s="8" t="n">
        <v>0.131</v>
      </c>
    </row>
    <row r="61" customFormat="false" ht="15" hidden="false" customHeight="false" outlineLevel="0" collapsed="false">
      <c r="A61" s="6" t="n">
        <v>12</v>
      </c>
      <c r="B61" s="7" t="n">
        <v>46189</v>
      </c>
      <c r="C61" s="6" t="s">
        <v>18</v>
      </c>
      <c r="D61" s="6" t="n">
        <v>5</v>
      </c>
      <c r="E61" s="8" t="n">
        <v>0.12</v>
      </c>
    </row>
    <row r="62" customFormat="false" ht="15" hidden="false" customHeight="false" outlineLevel="0" collapsed="false">
      <c r="A62" s="6" t="n">
        <v>13</v>
      </c>
      <c r="B62" s="7" t="n">
        <v>46190</v>
      </c>
      <c r="C62" s="6" t="s">
        <v>12</v>
      </c>
      <c r="D62" s="6" t="n">
        <v>1</v>
      </c>
      <c r="E62" s="8" t="n">
        <v>0.118</v>
      </c>
    </row>
    <row r="63" customFormat="false" ht="15" hidden="false" customHeight="false" outlineLevel="0" collapsed="false">
      <c r="A63" s="6" t="n">
        <v>13</v>
      </c>
      <c r="B63" s="7" t="n">
        <v>46190</v>
      </c>
      <c r="C63" s="6" t="s">
        <v>12</v>
      </c>
      <c r="D63" s="6" t="n">
        <v>2</v>
      </c>
      <c r="E63" s="8" t="n">
        <v>0.131</v>
      </c>
    </row>
    <row r="64" customFormat="false" ht="15" hidden="false" customHeight="false" outlineLevel="0" collapsed="false">
      <c r="A64" s="6" t="n">
        <v>13</v>
      </c>
      <c r="B64" s="7" t="n">
        <v>46190</v>
      </c>
      <c r="C64" s="6" t="s">
        <v>12</v>
      </c>
      <c r="D64" s="6" t="n">
        <v>3</v>
      </c>
      <c r="E64" s="8" t="n">
        <v>0.143</v>
      </c>
    </row>
    <row r="65" customFormat="false" ht="15" hidden="false" customHeight="false" outlineLevel="0" collapsed="false">
      <c r="A65" s="6" t="n">
        <v>13</v>
      </c>
      <c r="B65" s="7" t="n">
        <v>46190</v>
      </c>
      <c r="C65" s="6" t="s">
        <v>12</v>
      </c>
      <c r="D65" s="6" t="n">
        <v>4</v>
      </c>
      <c r="E65" s="8" t="n">
        <v>0.07</v>
      </c>
    </row>
    <row r="66" customFormat="false" ht="15" hidden="false" customHeight="false" outlineLevel="0" collapsed="false">
      <c r="A66" s="6" t="n">
        <v>13</v>
      </c>
      <c r="B66" s="7" t="n">
        <v>46190</v>
      </c>
      <c r="C66" s="6" t="s">
        <v>12</v>
      </c>
      <c r="D66" s="6" t="n">
        <v>5</v>
      </c>
      <c r="E66" s="8" t="n">
        <v>0.123</v>
      </c>
    </row>
    <row r="67" customFormat="false" ht="15" hidden="false" customHeight="false" outlineLevel="0" collapsed="false">
      <c r="A67" s="6" t="n">
        <v>14</v>
      </c>
      <c r="B67" s="7" t="n">
        <v>46191</v>
      </c>
      <c r="C67" s="6" t="s">
        <v>17</v>
      </c>
      <c r="D67" s="6" t="n">
        <v>1</v>
      </c>
      <c r="E67" s="8" t="n">
        <v>0.105</v>
      </c>
    </row>
    <row r="68" customFormat="false" ht="15" hidden="false" customHeight="false" outlineLevel="0" collapsed="false">
      <c r="A68" s="6" t="n">
        <v>14</v>
      </c>
      <c r="B68" s="7" t="n">
        <v>46191</v>
      </c>
      <c r="C68" s="6" t="s">
        <v>17</v>
      </c>
      <c r="D68" s="6" t="n">
        <v>2</v>
      </c>
      <c r="E68" s="8" t="n">
        <v>0.085</v>
      </c>
    </row>
    <row r="69" customFormat="false" ht="15" hidden="false" customHeight="false" outlineLevel="0" collapsed="false">
      <c r="A69" s="6" t="n">
        <v>14</v>
      </c>
      <c r="B69" s="7" t="n">
        <v>46191</v>
      </c>
      <c r="C69" s="6" t="s">
        <v>17</v>
      </c>
      <c r="D69" s="6" t="n">
        <v>3</v>
      </c>
      <c r="E69" s="8" t="n">
        <v>0.134</v>
      </c>
    </row>
    <row r="70" customFormat="false" ht="15" hidden="false" customHeight="false" outlineLevel="0" collapsed="false">
      <c r="A70" s="6" t="n">
        <v>14</v>
      </c>
      <c r="B70" s="7" t="n">
        <v>46191</v>
      </c>
      <c r="C70" s="6" t="s">
        <v>17</v>
      </c>
      <c r="D70" s="6" t="n">
        <v>4</v>
      </c>
      <c r="E70" s="8" t="n">
        <v>0.08</v>
      </c>
    </row>
    <row r="71" customFormat="false" ht="15" hidden="false" customHeight="false" outlineLevel="0" collapsed="false">
      <c r="A71" s="6" t="n">
        <v>14</v>
      </c>
      <c r="B71" s="7" t="n">
        <v>46191</v>
      </c>
      <c r="C71" s="6" t="s">
        <v>17</v>
      </c>
      <c r="D71" s="6" t="n">
        <v>5</v>
      </c>
      <c r="E71" s="8" t="n">
        <v>0.119</v>
      </c>
    </row>
    <row r="72" customFormat="false" ht="15" hidden="false" customHeight="false" outlineLevel="0" collapsed="false">
      <c r="A72" s="6" t="n">
        <v>15</v>
      </c>
      <c r="B72" s="7" t="n">
        <v>46192</v>
      </c>
      <c r="C72" s="6" t="s">
        <v>18</v>
      </c>
      <c r="D72" s="6" t="n">
        <v>1</v>
      </c>
      <c r="E72" s="8" t="n">
        <v>0.076</v>
      </c>
    </row>
    <row r="73" customFormat="false" ht="15" hidden="false" customHeight="false" outlineLevel="0" collapsed="false">
      <c r="A73" s="6" t="n">
        <v>15</v>
      </c>
      <c r="B73" s="7" t="n">
        <v>46192</v>
      </c>
      <c r="C73" s="6" t="s">
        <v>18</v>
      </c>
      <c r="D73" s="6" t="n">
        <v>2</v>
      </c>
      <c r="E73" s="8" t="n">
        <v>0.104</v>
      </c>
    </row>
    <row r="74" customFormat="false" ht="15" hidden="false" customHeight="false" outlineLevel="0" collapsed="false">
      <c r="A74" s="6" t="n">
        <v>15</v>
      </c>
      <c r="B74" s="7" t="n">
        <v>46192</v>
      </c>
      <c r="C74" s="6" t="s">
        <v>18</v>
      </c>
      <c r="D74" s="6" t="n">
        <v>3</v>
      </c>
      <c r="E74" s="8" t="n">
        <v>0.082</v>
      </c>
    </row>
    <row r="75" customFormat="false" ht="15" hidden="false" customHeight="false" outlineLevel="0" collapsed="false">
      <c r="A75" s="6" t="n">
        <v>15</v>
      </c>
      <c r="B75" s="7" t="n">
        <v>46192</v>
      </c>
      <c r="C75" s="6" t="s">
        <v>18</v>
      </c>
      <c r="D75" s="6" t="n">
        <v>4</v>
      </c>
      <c r="E75" s="8" t="n">
        <v>0.115</v>
      </c>
    </row>
    <row r="76" customFormat="false" ht="15" hidden="false" customHeight="false" outlineLevel="0" collapsed="false">
      <c r="A76" s="6" t="n">
        <v>15</v>
      </c>
      <c r="B76" s="7" t="n">
        <v>46192</v>
      </c>
      <c r="C76" s="6" t="s">
        <v>18</v>
      </c>
      <c r="D76" s="6" t="n">
        <v>5</v>
      </c>
      <c r="E76" s="8" t="n">
        <v>0.143</v>
      </c>
    </row>
    <row r="77" customFormat="false" ht="15" hidden="false" customHeight="false" outlineLevel="0" collapsed="false">
      <c r="A77" s="6" t="n">
        <v>16</v>
      </c>
      <c r="B77" s="7" t="n">
        <v>46195</v>
      </c>
      <c r="C77" s="6" t="s">
        <v>12</v>
      </c>
      <c r="D77" s="6" t="n">
        <v>1</v>
      </c>
      <c r="E77" s="8" t="n">
        <v>0.075</v>
      </c>
    </row>
    <row r="78" customFormat="false" ht="15" hidden="false" customHeight="false" outlineLevel="0" collapsed="false">
      <c r="A78" s="6" t="n">
        <v>16</v>
      </c>
      <c r="B78" s="7" t="n">
        <v>46195</v>
      </c>
      <c r="C78" s="6" t="s">
        <v>12</v>
      </c>
      <c r="D78" s="6" t="n">
        <v>2</v>
      </c>
      <c r="E78" s="8" t="n">
        <v>0.101</v>
      </c>
    </row>
    <row r="79" customFormat="false" ht="15" hidden="false" customHeight="false" outlineLevel="0" collapsed="false">
      <c r="A79" s="6" t="n">
        <v>16</v>
      </c>
      <c r="B79" s="7" t="n">
        <v>46195</v>
      </c>
      <c r="C79" s="6" t="s">
        <v>12</v>
      </c>
      <c r="D79" s="6" t="n">
        <v>3</v>
      </c>
      <c r="E79" s="8" t="n">
        <v>0.128</v>
      </c>
    </row>
    <row r="80" customFormat="false" ht="15" hidden="false" customHeight="false" outlineLevel="0" collapsed="false">
      <c r="A80" s="6" t="n">
        <v>16</v>
      </c>
      <c r="B80" s="7" t="n">
        <v>46195</v>
      </c>
      <c r="C80" s="6" t="s">
        <v>12</v>
      </c>
      <c r="D80" s="6" t="n">
        <v>4</v>
      </c>
      <c r="E80" s="8" t="n">
        <v>0.147</v>
      </c>
    </row>
    <row r="81" customFormat="false" ht="15" hidden="false" customHeight="false" outlineLevel="0" collapsed="false">
      <c r="A81" s="6" t="n">
        <v>16</v>
      </c>
      <c r="B81" s="7" t="n">
        <v>46195</v>
      </c>
      <c r="C81" s="6" t="s">
        <v>12</v>
      </c>
      <c r="D81" s="6" t="n">
        <v>5</v>
      </c>
      <c r="E81" s="8" t="n">
        <v>0.122</v>
      </c>
    </row>
    <row r="82" customFormat="false" ht="15" hidden="false" customHeight="false" outlineLevel="0" collapsed="false">
      <c r="A82" s="6" t="n">
        <v>17</v>
      </c>
      <c r="B82" s="7" t="n">
        <v>46196</v>
      </c>
      <c r="C82" s="6" t="s">
        <v>17</v>
      </c>
      <c r="D82" s="6" t="n">
        <v>1</v>
      </c>
      <c r="E82" s="8" t="n">
        <v>0.108</v>
      </c>
    </row>
    <row r="83" customFormat="false" ht="15" hidden="false" customHeight="false" outlineLevel="0" collapsed="false">
      <c r="A83" s="6" t="n">
        <v>17</v>
      </c>
      <c r="B83" s="7" t="n">
        <v>46196</v>
      </c>
      <c r="C83" s="6" t="s">
        <v>17</v>
      </c>
      <c r="D83" s="6" t="n">
        <v>2</v>
      </c>
      <c r="E83" s="8" t="n">
        <v>0.102</v>
      </c>
    </row>
    <row r="84" customFormat="false" ht="15" hidden="false" customHeight="false" outlineLevel="0" collapsed="false">
      <c r="A84" s="6" t="n">
        <v>17</v>
      </c>
      <c r="B84" s="7" t="n">
        <v>46196</v>
      </c>
      <c r="C84" s="6" t="s">
        <v>17</v>
      </c>
      <c r="D84" s="6" t="n">
        <v>3</v>
      </c>
      <c r="E84" s="8" t="n">
        <v>0.098</v>
      </c>
    </row>
    <row r="85" customFormat="false" ht="15" hidden="false" customHeight="false" outlineLevel="0" collapsed="false">
      <c r="A85" s="6" t="n">
        <v>17</v>
      </c>
      <c r="B85" s="7" t="n">
        <v>46196</v>
      </c>
      <c r="C85" s="6" t="s">
        <v>17</v>
      </c>
      <c r="D85" s="6" t="n">
        <v>4</v>
      </c>
      <c r="E85" s="8" t="n">
        <v>0.086</v>
      </c>
    </row>
    <row r="86" customFormat="false" ht="15" hidden="false" customHeight="false" outlineLevel="0" collapsed="false">
      <c r="A86" s="6" t="n">
        <v>17</v>
      </c>
      <c r="B86" s="7" t="n">
        <v>46196</v>
      </c>
      <c r="C86" s="6" t="s">
        <v>17</v>
      </c>
      <c r="D86" s="6" t="n">
        <v>5</v>
      </c>
      <c r="E86" s="8" t="n">
        <v>0.11</v>
      </c>
    </row>
    <row r="87" customFormat="false" ht="15" hidden="false" customHeight="false" outlineLevel="0" collapsed="false">
      <c r="A87" s="6" t="n">
        <v>18</v>
      </c>
      <c r="B87" s="7" t="n">
        <v>46197</v>
      </c>
      <c r="C87" s="6" t="s">
        <v>18</v>
      </c>
      <c r="D87" s="6" t="n">
        <v>1</v>
      </c>
      <c r="E87" s="8" t="n">
        <v>0.104</v>
      </c>
    </row>
    <row r="88" customFormat="false" ht="15" hidden="false" customHeight="false" outlineLevel="0" collapsed="false">
      <c r="A88" s="6" t="n">
        <v>18</v>
      </c>
      <c r="B88" s="7" t="n">
        <v>46197</v>
      </c>
      <c r="C88" s="6" t="s">
        <v>18</v>
      </c>
      <c r="D88" s="6" t="n">
        <v>2</v>
      </c>
      <c r="E88" s="8" t="n">
        <v>0.101</v>
      </c>
    </row>
    <row r="89" customFormat="false" ht="15" hidden="false" customHeight="false" outlineLevel="0" collapsed="false">
      <c r="A89" s="6" t="n">
        <v>18</v>
      </c>
      <c r="B89" s="7" t="n">
        <v>46197</v>
      </c>
      <c r="C89" s="6" t="s">
        <v>18</v>
      </c>
      <c r="D89" s="6" t="n">
        <v>3</v>
      </c>
      <c r="E89" s="8" t="n">
        <v>0.079</v>
      </c>
    </row>
    <row r="90" customFormat="false" ht="15" hidden="false" customHeight="false" outlineLevel="0" collapsed="false">
      <c r="A90" s="6" t="n">
        <v>18</v>
      </c>
      <c r="B90" s="7" t="n">
        <v>46197</v>
      </c>
      <c r="C90" s="6" t="s">
        <v>18</v>
      </c>
      <c r="D90" s="6" t="n">
        <v>4</v>
      </c>
      <c r="E90" s="8" t="n">
        <v>0.096</v>
      </c>
    </row>
    <row r="91" customFormat="false" ht="15" hidden="false" customHeight="false" outlineLevel="0" collapsed="false">
      <c r="A91" s="6" t="n">
        <v>18</v>
      </c>
      <c r="B91" s="7" t="n">
        <v>46197</v>
      </c>
      <c r="C91" s="6" t="s">
        <v>18</v>
      </c>
      <c r="D91" s="6" t="n">
        <v>5</v>
      </c>
      <c r="E91" s="8" t="n">
        <v>0.132</v>
      </c>
    </row>
    <row r="92" customFormat="false" ht="15" hidden="false" customHeight="false" outlineLevel="0" collapsed="false">
      <c r="A92" s="6" t="n">
        <v>19</v>
      </c>
      <c r="B92" s="7" t="n">
        <v>46198</v>
      </c>
      <c r="C92" s="6" t="s">
        <v>12</v>
      </c>
      <c r="D92" s="6" t="n">
        <v>1</v>
      </c>
      <c r="E92" s="8" t="n">
        <v>0.073</v>
      </c>
    </row>
    <row r="93" customFormat="false" ht="15" hidden="false" customHeight="false" outlineLevel="0" collapsed="false">
      <c r="A93" s="6" t="n">
        <v>19</v>
      </c>
      <c r="B93" s="7" t="n">
        <v>46198</v>
      </c>
      <c r="C93" s="6" t="s">
        <v>12</v>
      </c>
      <c r="D93" s="6" t="n">
        <v>2</v>
      </c>
      <c r="E93" s="8" t="n">
        <v>0.133</v>
      </c>
    </row>
    <row r="94" customFormat="false" ht="15" hidden="false" customHeight="false" outlineLevel="0" collapsed="false">
      <c r="A94" s="6" t="n">
        <v>19</v>
      </c>
      <c r="B94" s="7" t="n">
        <v>46198</v>
      </c>
      <c r="C94" s="6" t="s">
        <v>12</v>
      </c>
      <c r="D94" s="6" t="n">
        <v>3</v>
      </c>
      <c r="E94" s="8" t="n">
        <v>0.116</v>
      </c>
    </row>
    <row r="95" customFormat="false" ht="15" hidden="false" customHeight="false" outlineLevel="0" collapsed="false">
      <c r="A95" s="6" t="n">
        <v>19</v>
      </c>
      <c r="B95" s="7" t="n">
        <v>46198</v>
      </c>
      <c r="C95" s="6" t="s">
        <v>12</v>
      </c>
      <c r="D95" s="6" t="n">
        <v>4</v>
      </c>
      <c r="E95" s="8" t="n">
        <v>0.15</v>
      </c>
    </row>
    <row r="96" customFormat="false" ht="15" hidden="false" customHeight="false" outlineLevel="0" collapsed="false">
      <c r="A96" s="6" t="n">
        <v>19</v>
      </c>
      <c r="B96" s="7" t="n">
        <v>46198</v>
      </c>
      <c r="C96" s="6" t="s">
        <v>12</v>
      </c>
      <c r="D96" s="6" t="n">
        <v>5</v>
      </c>
      <c r="E96" s="8" t="n">
        <v>0.106</v>
      </c>
    </row>
    <row r="97" customFormat="false" ht="15" hidden="false" customHeight="false" outlineLevel="0" collapsed="false">
      <c r="A97" s="6" t="n">
        <v>20</v>
      </c>
      <c r="B97" s="7" t="n">
        <v>46199</v>
      </c>
      <c r="C97" s="6" t="s">
        <v>17</v>
      </c>
      <c r="D97" s="6" t="n">
        <v>1</v>
      </c>
      <c r="E97" s="8" t="n">
        <v>0.072</v>
      </c>
    </row>
    <row r="98" customFormat="false" ht="15" hidden="false" customHeight="false" outlineLevel="0" collapsed="false">
      <c r="A98" s="6" t="n">
        <v>20</v>
      </c>
      <c r="B98" s="7" t="n">
        <v>46199</v>
      </c>
      <c r="C98" s="6" t="s">
        <v>17</v>
      </c>
      <c r="D98" s="6" t="n">
        <v>2</v>
      </c>
      <c r="E98" s="8" t="n">
        <v>0.132</v>
      </c>
    </row>
    <row r="99" customFormat="false" ht="15" hidden="false" customHeight="false" outlineLevel="0" collapsed="false">
      <c r="A99" s="6" t="n">
        <v>20</v>
      </c>
      <c r="B99" s="7" t="n">
        <v>46199</v>
      </c>
      <c r="C99" s="6" t="s">
        <v>17</v>
      </c>
      <c r="D99" s="6" t="n">
        <v>3</v>
      </c>
      <c r="E99" s="8" t="n">
        <v>0.158</v>
      </c>
    </row>
    <row r="100" customFormat="false" ht="15" hidden="false" customHeight="false" outlineLevel="0" collapsed="false">
      <c r="A100" s="6" t="n">
        <v>20</v>
      </c>
      <c r="B100" s="7" t="n">
        <v>46199</v>
      </c>
      <c r="C100" s="6" t="s">
        <v>17</v>
      </c>
      <c r="D100" s="6" t="n">
        <v>4</v>
      </c>
      <c r="E100" s="8" t="n">
        <v>0.086</v>
      </c>
    </row>
    <row r="101" customFormat="false" ht="15" hidden="false" customHeight="false" outlineLevel="0" collapsed="false">
      <c r="A101" s="6" t="n">
        <v>20</v>
      </c>
      <c r="B101" s="7" t="n">
        <v>46199</v>
      </c>
      <c r="C101" s="6" t="s">
        <v>17</v>
      </c>
      <c r="D101" s="6" t="n">
        <v>5</v>
      </c>
      <c r="E101" s="8" t="n">
        <v>0.089</v>
      </c>
    </row>
    <row r="102" customFormat="false" ht="15" hidden="false" customHeight="false" outlineLevel="0" collapsed="false">
      <c r="A102" s="6" t="n">
        <v>21</v>
      </c>
      <c r="B102" s="7" t="n">
        <v>46202</v>
      </c>
      <c r="C102" s="6" t="s">
        <v>18</v>
      </c>
      <c r="D102" s="6" t="n">
        <v>1</v>
      </c>
      <c r="E102" s="8" t="n">
        <v>0.09</v>
      </c>
    </row>
    <row r="103" customFormat="false" ht="15" hidden="false" customHeight="false" outlineLevel="0" collapsed="false">
      <c r="A103" s="6" t="n">
        <v>21</v>
      </c>
      <c r="B103" s="7" t="n">
        <v>46202</v>
      </c>
      <c r="C103" s="6" t="s">
        <v>18</v>
      </c>
      <c r="D103" s="6" t="n">
        <v>2</v>
      </c>
      <c r="E103" s="8" t="n">
        <v>0.102</v>
      </c>
    </row>
    <row r="104" customFormat="false" ht="15" hidden="false" customHeight="false" outlineLevel="0" collapsed="false">
      <c r="A104" s="6" t="n">
        <v>21</v>
      </c>
      <c r="B104" s="7" t="n">
        <v>46202</v>
      </c>
      <c r="C104" s="6" t="s">
        <v>18</v>
      </c>
      <c r="D104" s="6" t="n">
        <v>3</v>
      </c>
      <c r="E104" s="8" t="n">
        <v>0.1</v>
      </c>
    </row>
    <row r="105" customFormat="false" ht="15" hidden="false" customHeight="false" outlineLevel="0" collapsed="false">
      <c r="A105" s="6" t="n">
        <v>21</v>
      </c>
      <c r="B105" s="7" t="n">
        <v>46202</v>
      </c>
      <c r="C105" s="6" t="s">
        <v>18</v>
      </c>
      <c r="D105" s="6" t="n">
        <v>4</v>
      </c>
      <c r="E105" s="8" t="n">
        <v>0.112</v>
      </c>
    </row>
    <row r="106" customFormat="false" ht="15" hidden="false" customHeight="false" outlineLevel="0" collapsed="false">
      <c r="A106" s="6" t="n">
        <v>21</v>
      </c>
      <c r="B106" s="7" t="n">
        <v>46202</v>
      </c>
      <c r="C106" s="6" t="s">
        <v>18</v>
      </c>
      <c r="D106" s="6" t="n">
        <v>5</v>
      </c>
      <c r="E106" s="8" t="n">
        <v>0.131</v>
      </c>
    </row>
    <row r="107" customFormat="false" ht="15" hidden="false" customHeight="false" outlineLevel="0" collapsed="false">
      <c r="A107" s="6" t="n">
        <v>22</v>
      </c>
      <c r="B107" s="7" t="n">
        <v>46203</v>
      </c>
      <c r="C107" s="6" t="s">
        <v>12</v>
      </c>
      <c r="D107" s="6" t="n">
        <v>1</v>
      </c>
      <c r="E107" s="8" t="n">
        <v>0.125</v>
      </c>
    </row>
    <row r="108" customFormat="false" ht="15" hidden="false" customHeight="false" outlineLevel="0" collapsed="false">
      <c r="A108" s="6" t="n">
        <v>22</v>
      </c>
      <c r="B108" s="7" t="n">
        <v>46203</v>
      </c>
      <c r="C108" s="6" t="s">
        <v>12</v>
      </c>
      <c r="D108" s="6" t="n">
        <v>2</v>
      </c>
      <c r="E108" s="8" t="n">
        <v>0.096</v>
      </c>
    </row>
    <row r="109" customFormat="false" ht="15" hidden="false" customHeight="false" outlineLevel="0" collapsed="false">
      <c r="A109" s="6" t="n">
        <v>22</v>
      </c>
      <c r="B109" s="7" t="n">
        <v>46203</v>
      </c>
      <c r="C109" s="6" t="s">
        <v>12</v>
      </c>
      <c r="D109" s="6" t="n">
        <v>3</v>
      </c>
      <c r="E109" s="8" t="n">
        <v>0.112</v>
      </c>
    </row>
    <row r="110" customFormat="false" ht="15" hidden="false" customHeight="false" outlineLevel="0" collapsed="false">
      <c r="A110" s="6" t="n">
        <v>22</v>
      </c>
      <c r="B110" s="7" t="n">
        <v>46203</v>
      </c>
      <c r="C110" s="6" t="s">
        <v>12</v>
      </c>
      <c r="D110" s="6" t="n">
        <v>4</v>
      </c>
      <c r="E110" s="8" t="n">
        <v>0.059</v>
      </c>
    </row>
    <row r="111" customFormat="false" ht="15" hidden="false" customHeight="false" outlineLevel="0" collapsed="false">
      <c r="A111" s="6" t="n">
        <v>22</v>
      </c>
      <c r="B111" s="7" t="n">
        <v>46203</v>
      </c>
      <c r="C111" s="6" t="s">
        <v>12</v>
      </c>
      <c r="D111" s="6" t="n">
        <v>5</v>
      </c>
      <c r="E111" s="8" t="n">
        <v>0.074</v>
      </c>
    </row>
    <row r="112" customFormat="false" ht="15" hidden="false" customHeight="false" outlineLevel="0" collapsed="false">
      <c r="A112" s="6" t="n">
        <v>23</v>
      </c>
      <c r="B112" s="7" t="n">
        <v>46204</v>
      </c>
      <c r="C112" s="6" t="s">
        <v>17</v>
      </c>
      <c r="D112" s="6" t="n">
        <v>1</v>
      </c>
      <c r="E112" s="8" t="n">
        <v>0.095</v>
      </c>
    </row>
    <row r="113" customFormat="false" ht="15" hidden="false" customHeight="false" outlineLevel="0" collapsed="false">
      <c r="A113" s="6" t="n">
        <v>23</v>
      </c>
      <c r="B113" s="7" t="n">
        <v>46204</v>
      </c>
      <c r="C113" s="6" t="s">
        <v>17</v>
      </c>
      <c r="D113" s="6" t="n">
        <v>2</v>
      </c>
      <c r="E113" s="8" t="n">
        <v>0.121</v>
      </c>
    </row>
    <row r="114" customFormat="false" ht="15" hidden="false" customHeight="false" outlineLevel="0" collapsed="false">
      <c r="A114" s="6" t="n">
        <v>23</v>
      </c>
      <c r="B114" s="7" t="n">
        <v>46204</v>
      </c>
      <c r="C114" s="6" t="s">
        <v>17</v>
      </c>
      <c r="D114" s="6" t="n">
        <v>3</v>
      </c>
      <c r="E114" s="8" t="n">
        <v>0.12</v>
      </c>
    </row>
    <row r="115" customFormat="false" ht="15" hidden="false" customHeight="false" outlineLevel="0" collapsed="false">
      <c r="A115" s="6" t="n">
        <v>23</v>
      </c>
      <c r="B115" s="7" t="n">
        <v>46204</v>
      </c>
      <c r="C115" s="6" t="s">
        <v>17</v>
      </c>
      <c r="D115" s="6" t="n">
        <v>4</v>
      </c>
      <c r="E115" s="8" t="n">
        <v>0.137</v>
      </c>
    </row>
    <row r="116" customFormat="false" ht="15" hidden="false" customHeight="false" outlineLevel="0" collapsed="false">
      <c r="A116" s="6" t="n">
        <v>23</v>
      </c>
      <c r="B116" s="7" t="n">
        <v>46204</v>
      </c>
      <c r="C116" s="6" t="s">
        <v>17</v>
      </c>
      <c r="D116" s="6" t="n">
        <v>5</v>
      </c>
      <c r="E116" s="8" t="n">
        <v>0.126</v>
      </c>
    </row>
    <row r="117" customFormat="false" ht="15" hidden="false" customHeight="false" outlineLevel="0" collapsed="false">
      <c r="A117" s="6" t="n">
        <v>24</v>
      </c>
      <c r="B117" s="7" t="n">
        <v>46205</v>
      </c>
      <c r="C117" s="6" t="s">
        <v>18</v>
      </c>
      <c r="D117" s="6" t="n">
        <v>1</v>
      </c>
      <c r="E117" s="8" t="n">
        <v>0.107</v>
      </c>
    </row>
    <row r="118" customFormat="false" ht="15" hidden="false" customHeight="false" outlineLevel="0" collapsed="false">
      <c r="A118" s="6" t="n">
        <v>24</v>
      </c>
      <c r="B118" s="7" t="n">
        <v>46205</v>
      </c>
      <c r="C118" s="6" t="s">
        <v>18</v>
      </c>
      <c r="D118" s="6" t="n">
        <v>2</v>
      </c>
      <c r="E118" s="8" t="n">
        <v>0.094</v>
      </c>
    </row>
    <row r="119" customFormat="false" ht="15" hidden="false" customHeight="false" outlineLevel="0" collapsed="false">
      <c r="A119" s="6" t="n">
        <v>24</v>
      </c>
      <c r="B119" s="7" t="n">
        <v>46205</v>
      </c>
      <c r="C119" s="6" t="s">
        <v>18</v>
      </c>
      <c r="D119" s="6" t="n">
        <v>3</v>
      </c>
      <c r="E119" s="8" t="n">
        <v>0.093</v>
      </c>
    </row>
    <row r="120" customFormat="false" ht="15" hidden="false" customHeight="false" outlineLevel="0" collapsed="false">
      <c r="A120" s="6" t="n">
        <v>24</v>
      </c>
      <c r="B120" s="7" t="n">
        <v>46205</v>
      </c>
      <c r="C120" s="6" t="s">
        <v>18</v>
      </c>
      <c r="D120" s="6" t="n">
        <v>4</v>
      </c>
      <c r="E120" s="8" t="n">
        <v>0.099</v>
      </c>
    </row>
    <row r="121" customFormat="false" ht="15" hidden="false" customHeight="false" outlineLevel="0" collapsed="false">
      <c r="A121" s="6" t="n">
        <v>24</v>
      </c>
      <c r="B121" s="7" t="n">
        <v>46205</v>
      </c>
      <c r="C121" s="6" t="s">
        <v>18</v>
      </c>
      <c r="D121" s="6" t="n">
        <v>5</v>
      </c>
      <c r="E121" s="8" t="n">
        <v>0.085</v>
      </c>
    </row>
    <row r="122" customFormat="false" ht="15" hidden="false" customHeight="false" outlineLevel="0" collapsed="false">
      <c r="A122" s="6" t="n">
        <v>25</v>
      </c>
      <c r="B122" s="7" t="n">
        <v>46206</v>
      </c>
      <c r="C122" s="6" t="s">
        <v>12</v>
      </c>
      <c r="D122" s="6" t="n">
        <v>1</v>
      </c>
      <c r="E122" s="8" t="n">
        <v>0.101</v>
      </c>
    </row>
    <row r="123" customFormat="false" ht="15" hidden="false" customHeight="false" outlineLevel="0" collapsed="false">
      <c r="A123" s="6" t="n">
        <v>25</v>
      </c>
      <c r="B123" s="7" t="n">
        <v>46206</v>
      </c>
      <c r="C123" s="6" t="s">
        <v>12</v>
      </c>
      <c r="D123" s="6" t="n">
        <v>2</v>
      </c>
      <c r="E123" s="8" t="n">
        <v>0.108</v>
      </c>
    </row>
    <row r="124" customFormat="false" ht="15" hidden="false" customHeight="false" outlineLevel="0" collapsed="false">
      <c r="A124" s="6" t="n">
        <v>25</v>
      </c>
      <c r="B124" s="7" t="n">
        <v>46206</v>
      </c>
      <c r="C124" s="6" t="s">
        <v>12</v>
      </c>
      <c r="D124" s="6" t="n">
        <v>3</v>
      </c>
      <c r="E124" s="8" t="n">
        <v>0.096</v>
      </c>
    </row>
    <row r="125" customFormat="false" ht="15" hidden="false" customHeight="false" outlineLevel="0" collapsed="false">
      <c r="A125" s="6" t="n">
        <v>25</v>
      </c>
      <c r="B125" s="7" t="n">
        <v>46206</v>
      </c>
      <c r="C125" s="6" t="s">
        <v>12</v>
      </c>
      <c r="D125" s="6" t="n">
        <v>4</v>
      </c>
      <c r="E125" s="8" t="n">
        <v>0.061</v>
      </c>
    </row>
    <row r="126" customFormat="false" ht="15" hidden="false" customHeight="false" outlineLevel="0" collapsed="false">
      <c r="A126" s="6" t="n">
        <v>25</v>
      </c>
      <c r="B126" s="7" t="n">
        <v>46206</v>
      </c>
      <c r="C126" s="6" t="s">
        <v>12</v>
      </c>
      <c r="D126" s="6" t="n">
        <v>5</v>
      </c>
      <c r="E126" s="8" t="n">
        <v>0.101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3" t="s">
        <v>19</v>
      </c>
      <c r="B1" s="3" t="s">
        <v>20</v>
      </c>
      <c r="C1" s="3" t="s">
        <v>21</v>
      </c>
      <c r="D1" s="3" t="s">
        <v>22</v>
      </c>
    </row>
    <row r="2" customFormat="false" ht="15" hidden="false" customHeight="false" outlineLevel="0" collapsed="false">
      <c r="A2" s="6" t="s">
        <v>23</v>
      </c>
      <c r="B2" s="5" t="n">
        <v>15898</v>
      </c>
      <c r="C2" s="9" t="n">
        <f aca="false">B2/$B$8</f>
        <v>0.460011574074074</v>
      </c>
      <c r="D2" s="9" t="n">
        <f aca="false">SUM($B$2:B2)/$B$8</f>
        <v>0.460011574074074</v>
      </c>
    </row>
    <row r="3" customFormat="false" ht="15" hidden="false" customHeight="false" outlineLevel="0" collapsed="false">
      <c r="A3" s="6" t="s">
        <v>24</v>
      </c>
      <c r="B3" s="5" t="n">
        <v>7603</v>
      </c>
      <c r="C3" s="9" t="n">
        <f aca="false">B3/$B$8</f>
        <v>0.219994212962963</v>
      </c>
      <c r="D3" s="9" t="n">
        <f aca="false">SUM($B$2:B3)/$B$8</f>
        <v>0.680005787037037</v>
      </c>
    </row>
    <row r="4" customFormat="false" ht="15" hidden="false" customHeight="false" outlineLevel="0" collapsed="false">
      <c r="A4" s="6" t="s">
        <v>25</v>
      </c>
      <c r="B4" s="5" t="n">
        <v>5184</v>
      </c>
      <c r="C4" s="9" t="n">
        <f aca="false">B4/$B$8</f>
        <v>0.15</v>
      </c>
      <c r="D4" s="9" t="n">
        <f aca="false">SUM($B$2:B4)/$B$8</f>
        <v>0.830005787037037</v>
      </c>
    </row>
    <row r="5" customFormat="false" ht="15" hidden="false" customHeight="false" outlineLevel="0" collapsed="false">
      <c r="A5" s="6" t="s">
        <v>26</v>
      </c>
      <c r="B5" s="5" t="n">
        <v>3110</v>
      </c>
      <c r="C5" s="9" t="n">
        <f aca="false">B5/$B$8</f>
        <v>0.0899884259259259</v>
      </c>
      <c r="D5" s="9" t="n">
        <f aca="false">SUM($B$2:B5)/$B$8</f>
        <v>0.919994212962963</v>
      </c>
    </row>
    <row r="6" customFormat="false" ht="15" hidden="false" customHeight="false" outlineLevel="0" collapsed="false">
      <c r="A6" s="6" t="s">
        <v>27</v>
      </c>
      <c r="B6" s="5" t="n">
        <v>1728</v>
      </c>
      <c r="C6" s="9" t="n">
        <f aca="false">B6/$B$8</f>
        <v>0.05</v>
      </c>
      <c r="D6" s="9" t="n">
        <f aca="false">SUM($B$2:B6)/$B$8</f>
        <v>0.969994212962963</v>
      </c>
    </row>
    <row r="7" customFormat="false" ht="15" hidden="false" customHeight="false" outlineLevel="0" collapsed="false">
      <c r="A7" s="6" t="s">
        <v>28</v>
      </c>
      <c r="B7" s="5" t="n">
        <v>1037</v>
      </c>
      <c r="C7" s="9" t="n">
        <f aca="false">B7/$B$8</f>
        <v>0.030005787037037</v>
      </c>
      <c r="D7" s="9" t="n">
        <f aca="false">SUM($B$2:B7)/$B$8</f>
        <v>1</v>
      </c>
    </row>
    <row r="8" customFormat="false" ht="15" hidden="false" customHeight="false" outlineLevel="0" collapsed="false">
      <c r="A8" s="4" t="s">
        <v>29</v>
      </c>
      <c r="B8" s="4" t="n">
        <f aca="false">SUM(B2:B7)</f>
        <v>34560</v>
      </c>
    </row>
    <row r="10" customFormat="false" ht="15" hidden="false" customHeight="false" outlineLevel="0" collapsed="false">
      <c r="A10" s="1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2026-10-16T19:59:34Z</dcterms:created>
  <dc:creator>openpyxl</dc:creator>
  <dc:description/>
  <dc:language>en-US</dc:language>
  <cp:lastModifiedBy/>
  <dcterms:modified xsi:type="dcterms:W3CDTF">2026-10-16T19:59:34Z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